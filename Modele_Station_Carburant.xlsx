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ètres" sheetId="1" state="visible" r:id="rId1"/>
    <sheet name="Commandes" sheetId="2" state="visible" r:id="rId2"/>
    <sheet name="V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Niveau de cuve (Stock final)</a:t>
            </a:r>
          </a:p>
        </rich>
      </tx>
    </title>
    <plotArea>
      <lineChart>
        <grouping val="standard"/>
        <ser>
          <idx val="0"/>
          <order val="0"/>
          <tx>
            <strRef>
              <f>'Commandes'!H1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'Commandes'!$A$2:$A$201</f>
            </numRef>
          </cat>
          <val>
            <numRef>
              <f>'Commandes'!$H$2:$H$201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6"/>
  <sheetViews>
    <sheetView workbookViewId="0">
      <selection activeCell="A1" sqref="A1"/>
    </sheetView>
  </sheetViews>
  <sheetFormatPr baseColWidth="8" defaultRowHeight="15"/>
  <sheetData>
    <row r="3">
      <c r="A3" t="inlineStr">
        <is>
          <t>Capacité cuve (L)</t>
        </is>
      </c>
      <c r="B3" t="n">
        <v>18000</v>
      </c>
    </row>
    <row r="4">
      <c r="A4" t="inlineStr">
        <is>
          <t>Niveau sécurité (%)</t>
        </is>
      </c>
      <c r="B4" t="n">
        <v>0.1</v>
      </c>
    </row>
    <row r="5">
      <c r="A5" t="inlineStr">
        <is>
          <t>Stock initial (L)</t>
        </is>
      </c>
      <c r="B5" t="n">
        <v>12000</v>
      </c>
    </row>
    <row r="6">
      <c r="A6" t="inlineStr">
        <is>
          <t>Seuil sécurité (L)</t>
        </is>
      </c>
      <c r="B6">
        <f>B3*B4</f>
        <v/>
      </c>
    </row>
  </sheetData>
  <dataValidations count="1">
    <dataValidation sqref="B3" showDropDown="0" showInputMessage="0" showErrorMessage="0" allowBlank="0" type="list">
      <formula1>"9000,18000,27000,45000"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N° Châssis</t>
        </is>
      </c>
      <c r="C1" s="1" t="inlineStr">
        <is>
          <t>Montant</t>
        </is>
      </c>
      <c r="D1" s="1" t="inlineStr">
        <is>
          <t>PU</t>
        </is>
      </c>
      <c r="E1" s="1" t="inlineStr">
        <is>
          <t>Quantité livrée (L)</t>
        </is>
      </c>
      <c r="F1" s="1" t="inlineStr">
        <is>
          <t>Stock initial (L)</t>
        </is>
      </c>
      <c r="G1" s="1" t="inlineStr">
        <is>
          <t>Quantité vendue (L)</t>
        </is>
      </c>
      <c r="H1" s="1" t="inlineStr">
        <is>
          <t>Stock final (L)</t>
        </is>
      </c>
      <c r="I1" s="1" t="inlineStr">
        <is>
          <t>Alerte</t>
        </is>
      </c>
    </row>
    <row r="2">
      <c r="E2">
        <f>IFERROR(C2/D2,0)</f>
        <v/>
      </c>
      <c r="F2">
        <f>Paramètres!B5</f>
        <v/>
      </c>
      <c r="G2">
        <f>IFERROR(SUMIF(Ventes!A:A,A2,Ventes!B:B),0)</f>
        <v/>
      </c>
      <c r="H2">
        <f>MAX(0,F2+E2-G2)</f>
        <v/>
      </c>
      <c r="I2">
        <f>IF(H2&lt;Paramètres!B6,"ALERTE","OK")</f>
        <v/>
      </c>
    </row>
    <row r="3">
      <c r="E3">
        <f>IFERROR(C3/D3,0)</f>
        <v/>
      </c>
      <c r="F3">
        <f>H2</f>
        <v/>
      </c>
      <c r="G3">
        <f>IFERROR(SUMIF(Ventes!A:A,A3,Ventes!B:B),0)</f>
        <v/>
      </c>
      <c r="H3">
        <f>MAX(0,F3+E3-G3)</f>
        <v/>
      </c>
      <c r="I3">
        <f>IF(H3&lt;Paramètres!B6,"ALERTE","OK")</f>
        <v/>
      </c>
    </row>
    <row r="4">
      <c r="E4">
        <f>IFERROR(C4/D4,0)</f>
        <v/>
      </c>
      <c r="F4">
        <f>H3</f>
        <v/>
      </c>
      <c r="G4">
        <f>IFERROR(SUMIF(Ventes!A:A,A4,Ventes!B:B),0)</f>
        <v/>
      </c>
      <c r="H4">
        <f>MAX(0,F4+E4-G4)</f>
        <v/>
      </c>
      <c r="I4">
        <f>IF(H4&lt;Paramètres!B6,"ALERTE","OK")</f>
        <v/>
      </c>
    </row>
    <row r="5">
      <c r="E5">
        <f>IFERROR(C5/D5,0)</f>
        <v/>
      </c>
      <c r="F5">
        <f>H4</f>
        <v/>
      </c>
      <c r="G5">
        <f>IFERROR(SUMIF(Ventes!A:A,A5,Ventes!B:B),0)</f>
        <v/>
      </c>
      <c r="H5">
        <f>MAX(0,F5+E5-G5)</f>
        <v/>
      </c>
      <c r="I5">
        <f>IF(H5&lt;Paramètres!B6,"ALERTE","OK")</f>
        <v/>
      </c>
    </row>
    <row r="6">
      <c r="E6">
        <f>IFERROR(C6/D6,0)</f>
        <v/>
      </c>
      <c r="F6">
        <f>H5</f>
        <v/>
      </c>
      <c r="G6">
        <f>IFERROR(SUMIF(Ventes!A:A,A6,Ventes!B:B),0)</f>
        <v/>
      </c>
      <c r="H6">
        <f>MAX(0,F6+E6-G6)</f>
        <v/>
      </c>
      <c r="I6">
        <f>IF(H6&lt;Paramètres!B6,"ALERTE","OK")</f>
        <v/>
      </c>
    </row>
    <row r="7">
      <c r="E7">
        <f>IFERROR(C7/D7,0)</f>
        <v/>
      </c>
      <c r="F7">
        <f>H6</f>
        <v/>
      </c>
      <c r="G7">
        <f>IFERROR(SUMIF(Ventes!A:A,A7,Ventes!B:B),0)</f>
        <v/>
      </c>
      <c r="H7">
        <f>MAX(0,F7+E7-G7)</f>
        <v/>
      </c>
      <c r="I7">
        <f>IF(H7&lt;Paramètres!B6,"ALERTE","OK")</f>
        <v/>
      </c>
    </row>
    <row r="8">
      <c r="E8">
        <f>IFERROR(C8/D8,0)</f>
        <v/>
      </c>
      <c r="F8">
        <f>H7</f>
        <v/>
      </c>
      <c r="G8">
        <f>IFERROR(SUMIF(Ventes!A:A,A8,Ventes!B:B),0)</f>
        <v/>
      </c>
      <c r="H8">
        <f>MAX(0,F8+E8-G8)</f>
        <v/>
      </c>
      <c r="I8">
        <f>IF(H8&lt;Paramètres!B6,"ALERTE","OK")</f>
        <v/>
      </c>
    </row>
    <row r="9">
      <c r="E9">
        <f>IFERROR(C9/D9,0)</f>
        <v/>
      </c>
      <c r="F9">
        <f>H8</f>
        <v/>
      </c>
      <c r="G9">
        <f>IFERROR(SUMIF(Ventes!A:A,A9,Ventes!B:B),0)</f>
        <v/>
      </c>
      <c r="H9">
        <f>MAX(0,F9+E9-G9)</f>
        <v/>
      </c>
      <c r="I9">
        <f>IF(H9&lt;Paramètres!B6,"ALERTE","OK")</f>
        <v/>
      </c>
    </row>
    <row r="10">
      <c r="E10">
        <f>IFERROR(C10/D10,0)</f>
        <v/>
      </c>
      <c r="F10">
        <f>H9</f>
        <v/>
      </c>
      <c r="G10">
        <f>IFERROR(SUMIF(Ventes!A:A,A10,Ventes!B:B),0)</f>
        <v/>
      </c>
      <c r="H10">
        <f>MAX(0,F10+E10-G10)</f>
        <v/>
      </c>
      <c r="I10">
        <f>IF(H10&lt;Paramètres!B6,"ALERTE","OK")</f>
        <v/>
      </c>
    </row>
    <row r="11">
      <c r="E11">
        <f>IFERROR(C11/D11,0)</f>
        <v/>
      </c>
      <c r="F11">
        <f>H10</f>
        <v/>
      </c>
      <c r="G11">
        <f>IFERROR(SUMIF(Ventes!A:A,A11,Ventes!B:B),0)</f>
        <v/>
      </c>
      <c r="H11">
        <f>MAX(0,F11+E11-G11)</f>
        <v/>
      </c>
      <c r="I11">
        <f>IF(H11&lt;Paramètres!B6,"ALERTE","OK")</f>
        <v/>
      </c>
    </row>
    <row r="12">
      <c r="E12">
        <f>IFERROR(C12/D12,0)</f>
        <v/>
      </c>
      <c r="F12">
        <f>H11</f>
        <v/>
      </c>
      <c r="G12">
        <f>IFERROR(SUMIF(Ventes!A:A,A12,Ventes!B:B),0)</f>
        <v/>
      </c>
      <c r="H12">
        <f>MAX(0,F12+E12-G12)</f>
        <v/>
      </c>
      <c r="I12">
        <f>IF(H12&lt;Paramètres!B6,"ALERTE","OK")</f>
        <v/>
      </c>
    </row>
    <row r="13">
      <c r="E13">
        <f>IFERROR(C13/D13,0)</f>
        <v/>
      </c>
      <c r="F13">
        <f>H12</f>
        <v/>
      </c>
      <c r="G13">
        <f>IFERROR(SUMIF(Ventes!A:A,A13,Ventes!B:B),0)</f>
        <v/>
      </c>
      <c r="H13">
        <f>MAX(0,F13+E13-G13)</f>
        <v/>
      </c>
      <c r="I13">
        <f>IF(H13&lt;Paramètres!B6,"ALERTE","OK")</f>
        <v/>
      </c>
    </row>
    <row r="14">
      <c r="E14">
        <f>IFERROR(C14/D14,0)</f>
        <v/>
      </c>
      <c r="F14">
        <f>H13</f>
        <v/>
      </c>
      <c r="G14">
        <f>IFERROR(SUMIF(Ventes!A:A,A14,Ventes!B:B),0)</f>
        <v/>
      </c>
      <c r="H14">
        <f>MAX(0,F14+E14-G14)</f>
        <v/>
      </c>
      <c r="I14">
        <f>IF(H14&lt;Paramètres!B6,"ALERTE","OK")</f>
        <v/>
      </c>
    </row>
    <row r="15">
      <c r="E15">
        <f>IFERROR(C15/D15,0)</f>
        <v/>
      </c>
      <c r="F15">
        <f>H14</f>
        <v/>
      </c>
      <c r="G15">
        <f>IFERROR(SUMIF(Ventes!A:A,A15,Ventes!B:B),0)</f>
        <v/>
      </c>
      <c r="H15">
        <f>MAX(0,F15+E15-G15)</f>
        <v/>
      </c>
      <c r="I15">
        <f>IF(H15&lt;Paramètres!B6,"ALERTE","OK")</f>
        <v/>
      </c>
    </row>
    <row r="16">
      <c r="E16">
        <f>IFERROR(C16/D16,0)</f>
        <v/>
      </c>
      <c r="F16">
        <f>H15</f>
        <v/>
      </c>
      <c r="G16">
        <f>IFERROR(SUMIF(Ventes!A:A,A16,Ventes!B:B),0)</f>
        <v/>
      </c>
      <c r="H16">
        <f>MAX(0,F16+E16-G16)</f>
        <v/>
      </c>
      <c r="I16">
        <f>IF(H16&lt;Paramètres!B6,"ALERTE","OK")</f>
        <v/>
      </c>
    </row>
    <row r="17">
      <c r="E17">
        <f>IFERROR(C17/D17,0)</f>
        <v/>
      </c>
      <c r="F17">
        <f>H16</f>
        <v/>
      </c>
      <c r="G17">
        <f>IFERROR(SUMIF(Ventes!A:A,A17,Ventes!B:B),0)</f>
        <v/>
      </c>
      <c r="H17">
        <f>MAX(0,F17+E17-G17)</f>
        <v/>
      </c>
      <c r="I17">
        <f>IF(H17&lt;Paramètres!B6,"ALERTE","OK")</f>
        <v/>
      </c>
    </row>
    <row r="18">
      <c r="E18">
        <f>IFERROR(C18/D18,0)</f>
        <v/>
      </c>
      <c r="F18">
        <f>H17</f>
        <v/>
      </c>
      <c r="G18">
        <f>IFERROR(SUMIF(Ventes!A:A,A18,Ventes!B:B),0)</f>
        <v/>
      </c>
      <c r="H18">
        <f>MAX(0,F18+E18-G18)</f>
        <v/>
      </c>
      <c r="I18">
        <f>IF(H18&lt;Paramètres!B6,"ALERTE","OK")</f>
        <v/>
      </c>
    </row>
    <row r="19">
      <c r="E19">
        <f>IFERROR(C19/D19,0)</f>
        <v/>
      </c>
      <c r="F19">
        <f>H18</f>
        <v/>
      </c>
      <c r="G19">
        <f>IFERROR(SUMIF(Ventes!A:A,A19,Ventes!B:B),0)</f>
        <v/>
      </c>
      <c r="H19">
        <f>MAX(0,F19+E19-G19)</f>
        <v/>
      </c>
      <c r="I19">
        <f>IF(H19&lt;Paramètres!B6,"ALERTE","OK")</f>
        <v/>
      </c>
    </row>
    <row r="20">
      <c r="E20">
        <f>IFERROR(C20/D20,0)</f>
        <v/>
      </c>
      <c r="F20">
        <f>H19</f>
        <v/>
      </c>
      <c r="G20">
        <f>IFERROR(SUMIF(Ventes!A:A,A20,Ventes!B:B),0)</f>
        <v/>
      </c>
      <c r="H20">
        <f>MAX(0,F20+E20-G20)</f>
        <v/>
      </c>
      <c r="I20">
        <f>IF(H20&lt;Paramètres!B6,"ALERTE","OK")</f>
        <v/>
      </c>
    </row>
    <row r="21">
      <c r="E21">
        <f>IFERROR(C21/D21,0)</f>
        <v/>
      </c>
      <c r="F21">
        <f>H20</f>
        <v/>
      </c>
      <c r="G21">
        <f>IFERROR(SUMIF(Ventes!A:A,A21,Ventes!B:B),0)</f>
        <v/>
      </c>
      <c r="H21">
        <f>MAX(0,F21+E21-G21)</f>
        <v/>
      </c>
      <c r="I21">
        <f>IF(H21&lt;Paramètres!B6,"ALERTE","OK")</f>
        <v/>
      </c>
    </row>
    <row r="22">
      <c r="E22">
        <f>IFERROR(C22/D22,0)</f>
        <v/>
      </c>
      <c r="F22">
        <f>H21</f>
        <v/>
      </c>
      <c r="G22">
        <f>IFERROR(SUMIF(Ventes!A:A,A22,Ventes!B:B),0)</f>
        <v/>
      </c>
      <c r="H22">
        <f>MAX(0,F22+E22-G22)</f>
        <v/>
      </c>
      <c r="I22">
        <f>IF(H22&lt;Paramètres!B6,"ALERTE","OK")</f>
        <v/>
      </c>
    </row>
    <row r="23">
      <c r="E23">
        <f>IFERROR(C23/D23,0)</f>
        <v/>
      </c>
      <c r="F23">
        <f>H22</f>
        <v/>
      </c>
      <c r="G23">
        <f>IFERROR(SUMIF(Ventes!A:A,A23,Ventes!B:B),0)</f>
        <v/>
      </c>
      <c r="H23">
        <f>MAX(0,F23+E23-G23)</f>
        <v/>
      </c>
      <c r="I23">
        <f>IF(H23&lt;Paramètres!B6,"ALERTE","OK")</f>
        <v/>
      </c>
    </row>
    <row r="24">
      <c r="E24">
        <f>IFERROR(C24/D24,0)</f>
        <v/>
      </c>
      <c r="F24">
        <f>H23</f>
        <v/>
      </c>
      <c r="G24">
        <f>IFERROR(SUMIF(Ventes!A:A,A24,Ventes!B:B),0)</f>
        <v/>
      </c>
      <c r="H24">
        <f>MAX(0,F24+E24-G24)</f>
        <v/>
      </c>
      <c r="I24">
        <f>IF(H24&lt;Paramètres!B6,"ALERTE","OK")</f>
        <v/>
      </c>
    </row>
    <row r="25">
      <c r="E25">
        <f>IFERROR(C25/D25,0)</f>
        <v/>
      </c>
      <c r="F25">
        <f>H24</f>
        <v/>
      </c>
      <c r="G25">
        <f>IFERROR(SUMIF(Ventes!A:A,A25,Ventes!B:B),0)</f>
        <v/>
      </c>
      <c r="H25">
        <f>MAX(0,F25+E25-G25)</f>
        <v/>
      </c>
      <c r="I25">
        <f>IF(H25&lt;Paramètres!B6,"ALERTE","OK")</f>
        <v/>
      </c>
    </row>
    <row r="26">
      <c r="E26">
        <f>IFERROR(C26/D26,0)</f>
        <v/>
      </c>
      <c r="F26">
        <f>H25</f>
        <v/>
      </c>
      <c r="G26">
        <f>IFERROR(SUMIF(Ventes!A:A,A26,Ventes!B:B),0)</f>
        <v/>
      </c>
      <c r="H26">
        <f>MAX(0,F26+E26-G26)</f>
        <v/>
      </c>
      <c r="I26">
        <f>IF(H26&lt;Paramètres!B6,"ALERTE","OK")</f>
        <v/>
      </c>
    </row>
    <row r="27">
      <c r="E27">
        <f>IFERROR(C27/D27,0)</f>
        <v/>
      </c>
      <c r="F27">
        <f>H26</f>
        <v/>
      </c>
      <c r="G27">
        <f>IFERROR(SUMIF(Ventes!A:A,A27,Ventes!B:B),0)</f>
        <v/>
      </c>
      <c r="H27">
        <f>MAX(0,F27+E27-G27)</f>
        <v/>
      </c>
      <c r="I27">
        <f>IF(H27&lt;Paramètres!B6,"ALERTE","OK")</f>
        <v/>
      </c>
    </row>
    <row r="28">
      <c r="E28">
        <f>IFERROR(C28/D28,0)</f>
        <v/>
      </c>
      <c r="F28">
        <f>H27</f>
        <v/>
      </c>
      <c r="G28">
        <f>IFERROR(SUMIF(Ventes!A:A,A28,Ventes!B:B),0)</f>
        <v/>
      </c>
      <c r="H28">
        <f>MAX(0,F28+E28-G28)</f>
        <v/>
      </c>
      <c r="I28">
        <f>IF(H28&lt;Paramètres!B6,"ALERTE","OK")</f>
        <v/>
      </c>
    </row>
    <row r="29">
      <c r="E29">
        <f>IFERROR(C29/D29,0)</f>
        <v/>
      </c>
      <c r="F29">
        <f>H28</f>
        <v/>
      </c>
      <c r="G29">
        <f>IFERROR(SUMIF(Ventes!A:A,A29,Ventes!B:B),0)</f>
        <v/>
      </c>
      <c r="H29">
        <f>MAX(0,F29+E29-G29)</f>
        <v/>
      </c>
      <c r="I29">
        <f>IF(H29&lt;Paramètres!B6,"ALERTE","OK")</f>
        <v/>
      </c>
    </row>
    <row r="30">
      <c r="E30">
        <f>IFERROR(C30/D30,0)</f>
        <v/>
      </c>
      <c r="F30">
        <f>H29</f>
        <v/>
      </c>
      <c r="G30">
        <f>IFERROR(SUMIF(Ventes!A:A,A30,Ventes!B:B),0)</f>
        <v/>
      </c>
      <c r="H30">
        <f>MAX(0,F30+E30-G30)</f>
        <v/>
      </c>
      <c r="I30">
        <f>IF(H30&lt;Paramètres!B6,"ALERTE","OK")</f>
        <v/>
      </c>
    </row>
    <row r="31">
      <c r="E31">
        <f>IFERROR(C31/D31,0)</f>
        <v/>
      </c>
      <c r="F31">
        <f>H30</f>
        <v/>
      </c>
      <c r="G31">
        <f>IFERROR(SUMIF(Ventes!A:A,A31,Ventes!B:B),0)</f>
        <v/>
      </c>
      <c r="H31">
        <f>MAX(0,F31+E31-G31)</f>
        <v/>
      </c>
      <c r="I31">
        <f>IF(H31&lt;Paramètres!B6,"ALERTE","OK")</f>
        <v/>
      </c>
    </row>
    <row r="32">
      <c r="E32">
        <f>IFERROR(C32/D32,0)</f>
        <v/>
      </c>
      <c r="F32">
        <f>H31</f>
        <v/>
      </c>
      <c r="G32">
        <f>IFERROR(SUMIF(Ventes!A:A,A32,Ventes!B:B),0)</f>
        <v/>
      </c>
      <c r="H32">
        <f>MAX(0,F32+E32-G32)</f>
        <v/>
      </c>
      <c r="I32">
        <f>IF(H32&lt;Paramètres!B6,"ALERTE","OK")</f>
        <v/>
      </c>
    </row>
    <row r="33">
      <c r="E33">
        <f>IFERROR(C33/D33,0)</f>
        <v/>
      </c>
      <c r="F33">
        <f>H32</f>
        <v/>
      </c>
      <c r="G33">
        <f>IFERROR(SUMIF(Ventes!A:A,A33,Ventes!B:B),0)</f>
        <v/>
      </c>
      <c r="H33">
        <f>MAX(0,F33+E33-G33)</f>
        <v/>
      </c>
      <c r="I33">
        <f>IF(H33&lt;Paramètres!B6,"ALERTE","OK")</f>
        <v/>
      </c>
    </row>
    <row r="34">
      <c r="E34">
        <f>IFERROR(C34/D34,0)</f>
        <v/>
      </c>
      <c r="F34">
        <f>H33</f>
        <v/>
      </c>
      <c r="G34">
        <f>IFERROR(SUMIF(Ventes!A:A,A34,Ventes!B:B),0)</f>
        <v/>
      </c>
      <c r="H34">
        <f>MAX(0,F34+E34-G34)</f>
        <v/>
      </c>
      <c r="I34">
        <f>IF(H34&lt;Paramètres!B6,"ALERTE","OK")</f>
        <v/>
      </c>
    </row>
    <row r="35">
      <c r="E35">
        <f>IFERROR(C35/D35,0)</f>
        <v/>
      </c>
      <c r="F35">
        <f>H34</f>
        <v/>
      </c>
      <c r="G35">
        <f>IFERROR(SUMIF(Ventes!A:A,A35,Ventes!B:B),0)</f>
        <v/>
      </c>
      <c r="H35">
        <f>MAX(0,F35+E35-G35)</f>
        <v/>
      </c>
      <c r="I35">
        <f>IF(H35&lt;Paramètres!B6,"ALERTE","OK")</f>
        <v/>
      </c>
    </row>
    <row r="36">
      <c r="E36">
        <f>IFERROR(C36/D36,0)</f>
        <v/>
      </c>
      <c r="F36">
        <f>H35</f>
        <v/>
      </c>
      <c r="G36">
        <f>IFERROR(SUMIF(Ventes!A:A,A36,Ventes!B:B),0)</f>
        <v/>
      </c>
      <c r="H36">
        <f>MAX(0,F36+E36-G36)</f>
        <v/>
      </c>
      <c r="I36">
        <f>IF(H36&lt;Paramètres!B6,"ALERTE","OK")</f>
        <v/>
      </c>
    </row>
    <row r="37">
      <c r="E37">
        <f>IFERROR(C37/D37,0)</f>
        <v/>
      </c>
      <c r="F37">
        <f>H36</f>
        <v/>
      </c>
      <c r="G37">
        <f>IFERROR(SUMIF(Ventes!A:A,A37,Ventes!B:B),0)</f>
        <v/>
      </c>
      <c r="H37">
        <f>MAX(0,F37+E37-G37)</f>
        <v/>
      </c>
      <c r="I37">
        <f>IF(H37&lt;Paramètres!B6,"ALERTE","OK")</f>
        <v/>
      </c>
    </row>
    <row r="38">
      <c r="E38">
        <f>IFERROR(C38/D38,0)</f>
        <v/>
      </c>
      <c r="F38">
        <f>H37</f>
        <v/>
      </c>
      <c r="G38">
        <f>IFERROR(SUMIF(Ventes!A:A,A38,Ventes!B:B),0)</f>
        <v/>
      </c>
      <c r="H38">
        <f>MAX(0,F38+E38-G38)</f>
        <v/>
      </c>
      <c r="I38">
        <f>IF(H38&lt;Paramètres!B6,"ALERTE","OK")</f>
        <v/>
      </c>
    </row>
    <row r="39">
      <c r="E39">
        <f>IFERROR(C39/D39,0)</f>
        <v/>
      </c>
      <c r="F39">
        <f>H38</f>
        <v/>
      </c>
      <c r="G39">
        <f>IFERROR(SUMIF(Ventes!A:A,A39,Ventes!B:B),0)</f>
        <v/>
      </c>
      <c r="H39">
        <f>MAX(0,F39+E39-G39)</f>
        <v/>
      </c>
      <c r="I39">
        <f>IF(H39&lt;Paramètres!B6,"ALERTE","OK")</f>
        <v/>
      </c>
    </row>
    <row r="40">
      <c r="E40">
        <f>IFERROR(C40/D40,0)</f>
        <v/>
      </c>
      <c r="F40">
        <f>H39</f>
        <v/>
      </c>
      <c r="G40">
        <f>IFERROR(SUMIF(Ventes!A:A,A40,Ventes!B:B),0)</f>
        <v/>
      </c>
      <c r="H40">
        <f>MAX(0,F40+E40-G40)</f>
        <v/>
      </c>
      <c r="I40">
        <f>IF(H40&lt;Paramètres!B6,"ALERTE","OK")</f>
        <v/>
      </c>
    </row>
    <row r="41">
      <c r="E41">
        <f>IFERROR(C41/D41,0)</f>
        <v/>
      </c>
      <c r="F41">
        <f>H40</f>
        <v/>
      </c>
      <c r="G41">
        <f>IFERROR(SUMIF(Ventes!A:A,A41,Ventes!B:B),0)</f>
        <v/>
      </c>
      <c r="H41">
        <f>MAX(0,F41+E41-G41)</f>
        <v/>
      </c>
      <c r="I41">
        <f>IF(H41&lt;Paramètres!B6,"ALERTE","OK")</f>
        <v/>
      </c>
    </row>
    <row r="42">
      <c r="E42">
        <f>IFERROR(C42/D42,0)</f>
        <v/>
      </c>
      <c r="F42">
        <f>H41</f>
        <v/>
      </c>
      <c r="G42">
        <f>IFERROR(SUMIF(Ventes!A:A,A42,Ventes!B:B),0)</f>
        <v/>
      </c>
      <c r="H42">
        <f>MAX(0,F42+E42-G42)</f>
        <v/>
      </c>
      <c r="I42">
        <f>IF(H42&lt;Paramètres!B6,"ALERTE","OK")</f>
        <v/>
      </c>
    </row>
    <row r="43">
      <c r="E43">
        <f>IFERROR(C43/D43,0)</f>
        <v/>
      </c>
      <c r="F43">
        <f>H42</f>
        <v/>
      </c>
      <c r="G43">
        <f>IFERROR(SUMIF(Ventes!A:A,A43,Ventes!B:B),0)</f>
        <v/>
      </c>
      <c r="H43">
        <f>MAX(0,F43+E43-G43)</f>
        <v/>
      </c>
      <c r="I43">
        <f>IF(H43&lt;Paramètres!B6,"ALERTE","OK")</f>
        <v/>
      </c>
    </row>
    <row r="44">
      <c r="E44">
        <f>IFERROR(C44/D44,0)</f>
        <v/>
      </c>
      <c r="F44">
        <f>H43</f>
        <v/>
      </c>
      <c r="G44">
        <f>IFERROR(SUMIF(Ventes!A:A,A44,Ventes!B:B),0)</f>
        <v/>
      </c>
      <c r="H44">
        <f>MAX(0,F44+E44-G44)</f>
        <v/>
      </c>
      <c r="I44">
        <f>IF(H44&lt;Paramètres!B6,"ALERTE","OK")</f>
        <v/>
      </c>
    </row>
    <row r="45">
      <c r="E45">
        <f>IFERROR(C45/D45,0)</f>
        <v/>
      </c>
      <c r="F45">
        <f>H44</f>
        <v/>
      </c>
      <c r="G45">
        <f>IFERROR(SUMIF(Ventes!A:A,A45,Ventes!B:B),0)</f>
        <v/>
      </c>
      <c r="H45">
        <f>MAX(0,F45+E45-G45)</f>
        <v/>
      </c>
      <c r="I45">
        <f>IF(H45&lt;Paramètres!B6,"ALERTE","OK")</f>
        <v/>
      </c>
    </row>
    <row r="46">
      <c r="E46">
        <f>IFERROR(C46/D46,0)</f>
        <v/>
      </c>
      <c r="F46">
        <f>H45</f>
        <v/>
      </c>
      <c r="G46">
        <f>IFERROR(SUMIF(Ventes!A:A,A46,Ventes!B:B),0)</f>
        <v/>
      </c>
      <c r="H46">
        <f>MAX(0,F46+E46-G46)</f>
        <v/>
      </c>
      <c r="I46">
        <f>IF(H46&lt;Paramètres!B6,"ALERTE","OK")</f>
        <v/>
      </c>
    </row>
    <row r="47">
      <c r="E47">
        <f>IFERROR(C47/D47,0)</f>
        <v/>
      </c>
      <c r="F47">
        <f>H46</f>
        <v/>
      </c>
      <c r="G47">
        <f>IFERROR(SUMIF(Ventes!A:A,A47,Ventes!B:B),0)</f>
        <v/>
      </c>
      <c r="H47">
        <f>MAX(0,F47+E47-G47)</f>
        <v/>
      </c>
      <c r="I47">
        <f>IF(H47&lt;Paramètres!B6,"ALERTE","OK")</f>
        <v/>
      </c>
    </row>
    <row r="48">
      <c r="E48">
        <f>IFERROR(C48/D48,0)</f>
        <v/>
      </c>
      <c r="F48">
        <f>H47</f>
        <v/>
      </c>
      <c r="G48">
        <f>IFERROR(SUMIF(Ventes!A:A,A48,Ventes!B:B),0)</f>
        <v/>
      </c>
      <c r="H48">
        <f>MAX(0,F48+E48-G48)</f>
        <v/>
      </c>
      <c r="I48">
        <f>IF(H48&lt;Paramètres!B6,"ALERTE","OK")</f>
        <v/>
      </c>
    </row>
    <row r="49">
      <c r="E49">
        <f>IFERROR(C49/D49,0)</f>
        <v/>
      </c>
      <c r="F49">
        <f>H48</f>
        <v/>
      </c>
      <c r="G49">
        <f>IFERROR(SUMIF(Ventes!A:A,A49,Ventes!B:B),0)</f>
        <v/>
      </c>
      <c r="H49">
        <f>MAX(0,F49+E49-G49)</f>
        <v/>
      </c>
      <c r="I49">
        <f>IF(H49&lt;Paramètres!B6,"ALERTE","OK")</f>
        <v/>
      </c>
    </row>
    <row r="50">
      <c r="E50">
        <f>IFERROR(C50/D50,0)</f>
        <v/>
      </c>
      <c r="F50">
        <f>H49</f>
        <v/>
      </c>
      <c r="G50">
        <f>IFERROR(SUMIF(Ventes!A:A,A50,Ventes!B:B),0)</f>
        <v/>
      </c>
      <c r="H50">
        <f>MAX(0,F50+E50-G50)</f>
        <v/>
      </c>
      <c r="I50">
        <f>IF(H50&lt;Paramètres!B6,"ALERTE","OK")</f>
        <v/>
      </c>
    </row>
    <row r="51">
      <c r="E51">
        <f>IFERROR(C51/D51,0)</f>
        <v/>
      </c>
      <c r="F51">
        <f>H50</f>
        <v/>
      </c>
      <c r="G51">
        <f>IFERROR(SUMIF(Ventes!A:A,A51,Ventes!B:B),0)</f>
        <v/>
      </c>
      <c r="H51">
        <f>MAX(0,F51+E51-G51)</f>
        <v/>
      </c>
      <c r="I51">
        <f>IF(H51&lt;Paramètres!B6,"ALERTE","OK")</f>
        <v/>
      </c>
    </row>
    <row r="52">
      <c r="E52">
        <f>IFERROR(C52/D52,0)</f>
        <v/>
      </c>
      <c r="F52">
        <f>H51</f>
        <v/>
      </c>
      <c r="G52">
        <f>IFERROR(SUMIF(Ventes!A:A,A52,Ventes!B:B),0)</f>
        <v/>
      </c>
      <c r="H52">
        <f>MAX(0,F52+E52-G52)</f>
        <v/>
      </c>
      <c r="I52">
        <f>IF(H52&lt;Paramètres!B6,"ALERTE","OK")</f>
        <v/>
      </c>
    </row>
    <row r="53">
      <c r="E53">
        <f>IFERROR(C53/D53,0)</f>
        <v/>
      </c>
      <c r="F53">
        <f>H52</f>
        <v/>
      </c>
      <c r="G53">
        <f>IFERROR(SUMIF(Ventes!A:A,A53,Ventes!B:B),0)</f>
        <v/>
      </c>
      <c r="H53">
        <f>MAX(0,F53+E53-G53)</f>
        <v/>
      </c>
      <c r="I53">
        <f>IF(H53&lt;Paramètres!B6,"ALERTE","OK")</f>
        <v/>
      </c>
    </row>
    <row r="54">
      <c r="E54">
        <f>IFERROR(C54/D54,0)</f>
        <v/>
      </c>
      <c r="F54">
        <f>H53</f>
        <v/>
      </c>
      <c r="G54">
        <f>IFERROR(SUMIF(Ventes!A:A,A54,Ventes!B:B),0)</f>
        <v/>
      </c>
      <c r="H54">
        <f>MAX(0,F54+E54-G54)</f>
        <v/>
      </c>
      <c r="I54">
        <f>IF(H54&lt;Paramètres!B6,"ALERTE","OK")</f>
        <v/>
      </c>
    </row>
    <row r="55">
      <c r="E55">
        <f>IFERROR(C55/D55,0)</f>
        <v/>
      </c>
      <c r="F55">
        <f>H54</f>
        <v/>
      </c>
      <c r="G55">
        <f>IFERROR(SUMIF(Ventes!A:A,A55,Ventes!B:B),0)</f>
        <v/>
      </c>
      <c r="H55">
        <f>MAX(0,F55+E55-G55)</f>
        <v/>
      </c>
      <c r="I55">
        <f>IF(H55&lt;Paramètres!B6,"ALERTE","OK")</f>
        <v/>
      </c>
    </row>
    <row r="56">
      <c r="E56">
        <f>IFERROR(C56/D56,0)</f>
        <v/>
      </c>
      <c r="F56">
        <f>H55</f>
        <v/>
      </c>
      <c r="G56">
        <f>IFERROR(SUMIF(Ventes!A:A,A56,Ventes!B:B),0)</f>
        <v/>
      </c>
      <c r="H56">
        <f>MAX(0,F56+E56-G56)</f>
        <v/>
      </c>
      <c r="I56">
        <f>IF(H56&lt;Paramètres!B6,"ALERTE","OK")</f>
        <v/>
      </c>
    </row>
    <row r="57">
      <c r="E57">
        <f>IFERROR(C57/D57,0)</f>
        <v/>
      </c>
      <c r="F57">
        <f>H56</f>
        <v/>
      </c>
      <c r="G57">
        <f>IFERROR(SUMIF(Ventes!A:A,A57,Ventes!B:B),0)</f>
        <v/>
      </c>
      <c r="H57">
        <f>MAX(0,F57+E57-G57)</f>
        <v/>
      </c>
      <c r="I57">
        <f>IF(H57&lt;Paramètres!B6,"ALERTE","OK")</f>
        <v/>
      </c>
    </row>
    <row r="58">
      <c r="E58">
        <f>IFERROR(C58/D58,0)</f>
        <v/>
      </c>
      <c r="F58">
        <f>H57</f>
        <v/>
      </c>
      <c r="G58">
        <f>IFERROR(SUMIF(Ventes!A:A,A58,Ventes!B:B),0)</f>
        <v/>
      </c>
      <c r="H58">
        <f>MAX(0,F58+E58-G58)</f>
        <v/>
      </c>
      <c r="I58">
        <f>IF(H58&lt;Paramètres!B6,"ALERTE","OK")</f>
        <v/>
      </c>
    </row>
    <row r="59">
      <c r="E59">
        <f>IFERROR(C59/D59,0)</f>
        <v/>
      </c>
      <c r="F59">
        <f>H58</f>
        <v/>
      </c>
      <c r="G59">
        <f>IFERROR(SUMIF(Ventes!A:A,A59,Ventes!B:B),0)</f>
        <v/>
      </c>
      <c r="H59">
        <f>MAX(0,F59+E59-G59)</f>
        <v/>
      </c>
      <c r="I59">
        <f>IF(H59&lt;Paramètres!B6,"ALERTE","OK")</f>
        <v/>
      </c>
    </row>
    <row r="60">
      <c r="E60">
        <f>IFERROR(C60/D60,0)</f>
        <v/>
      </c>
      <c r="F60">
        <f>H59</f>
        <v/>
      </c>
      <c r="G60">
        <f>IFERROR(SUMIF(Ventes!A:A,A60,Ventes!B:B),0)</f>
        <v/>
      </c>
      <c r="H60">
        <f>MAX(0,F60+E60-G60)</f>
        <v/>
      </c>
      <c r="I60">
        <f>IF(H60&lt;Paramètres!B6,"ALERTE","OK")</f>
        <v/>
      </c>
    </row>
    <row r="61">
      <c r="E61">
        <f>IFERROR(C61/D61,0)</f>
        <v/>
      </c>
      <c r="F61">
        <f>H60</f>
        <v/>
      </c>
      <c r="G61">
        <f>IFERROR(SUMIF(Ventes!A:A,A61,Ventes!B:B),0)</f>
        <v/>
      </c>
      <c r="H61">
        <f>MAX(0,F61+E61-G61)</f>
        <v/>
      </c>
      <c r="I61">
        <f>IF(H61&lt;Paramètres!B6,"ALERTE","OK")</f>
        <v/>
      </c>
    </row>
    <row r="62">
      <c r="E62">
        <f>IFERROR(C62/D62,0)</f>
        <v/>
      </c>
      <c r="F62">
        <f>H61</f>
        <v/>
      </c>
      <c r="G62">
        <f>IFERROR(SUMIF(Ventes!A:A,A62,Ventes!B:B),0)</f>
        <v/>
      </c>
      <c r="H62">
        <f>MAX(0,F62+E62-G62)</f>
        <v/>
      </c>
      <c r="I62">
        <f>IF(H62&lt;Paramètres!B6,"ALERTE","OK")</f>
        <v/>
      </c>
    </row>
    <row r="63">
      <c r="E63">
        <f>IFERROR(C63/D63,0)</f>
        <v/>
      </c>
      <c r="F63">
        <f>H62</f>
        <v/>
      </c>
      <c r="G63">
        <f>IFERROR(SUMIF(Ventes!A:A,A63,Ventes!B:B),0)</f>
        <v/>
      </c>
      <c r="H63">
        <f>MAX(0,F63+E63-G63)</f>
        <v/>
      </c>
      <c r="I63">
        <f>IF(H63&lt;Paramètres!B6,"ALERTE","OK")</f>
        <v/>
      </c>
    </row>
    <row r="64">
      <c r="E64">
        <f>IFERROR(C64/D64,0)</f>
        <v/>
      </c>
      <c r="F64">
        <f>H63</f>
        <v/>
      </c>
      <c r="G64">
        <f>IFERROR(SUMIF(Ventes!A:A,A64,Ventes!B:B),0)</f>
        <v/>
      </c>
      <c r="H64">
        <f>MAX(0,F64+E64-G64)</f>
        <v/>
      </c>
      <c r="I64">
        <f>IF(H64&lt;Paramètres!B6,"ALERTE","OK")</f>
        <v/>
      </c>
    </row>
    <row r="65">
      <c r="E65">
        <f>IFERROR(C65/D65,0)</f>
        <v/>
      </c>
      <c r="F65">
        <f>H64</f>
        <v/>
      </c>
      <c r="G65">
        <f>IFERROR(SUMIF(Ventes!A:A,A65,Ventes!B:B),0)</f>
        <v/>
      </c>
      <c r="H65">
        <f>MAX(0,F65+E65-G65)</f>
        <v/>
      </c>
      <c r="I65">
        <f>IF(H65&lt;Paramètres!B6,"ALERTE","OK")</f>
        <v/>
      </c>
    </row>
    <row r="66">
      <c r="E66">
        <f>IFERROR(C66/D66,0)</f>
        <v/>
      </c>
      <c r="F66">
        <f>H65</f>
        <v/>
      </c>
      <c r="G66">
        <f>IFERROR(SUMIF(Ventes!A:A,A66,Ventes!B:B),0)</f>
        <v/>
      </c>
      <c r="H66">
        <f>MAX(0,F66+E66-G66)</f>
        <v/>
      </c>
      <c r="I66">
        <f>IF(H66&lt;Paramètres!B6,"ALERTE","OK")</f>
        <v/>
      </c>
    </row>
    <row r="67">
      <c r="E67">
        <f>IFERROR(C67/D67,0)</f>
        <v/>
      </c>
      <c r="F67">
        <f>H66</f>
        <v/>
      </c>
      <c r="G67">
        <f>IFERROR(SUMIF(Ventes!A:A,A67,Ventes!B:B),0)</f>
        <v/>
      </c>
      <c r="H67">
        <f>MAX(0,F67+E67-G67)</f>
        <v/>
      </c>
      <c r="I67">
        <f>IF(H67&lt;Paramètres!B6,"ALERTE","OK")</f>
        <v/>
      </c>
    </row>
    <row r="68">
      <c r="E68">
        <f>IFERROR(C68/D68,0)</f>
        <v/>
      </c>
      <c r="F68">
        <f>H67</f>
        <v/>
      </c>
      <c r="G68">
        <f>IFERROR(SUMIF(Ventes!A:A,A68,Ventes!B:B),0)</f>
        <v/>
      </c>
      <c r="H68">
        <f>MAX(0,F68+E68-G68)</f>
        <v/>
      </c>
      <c r="I68">
        <f>IF(H68&lt;Paramètres!B6,"ALERTE","OK")</f>
        <v/>
      </c>
    </row>
    <row r="69">
      <c r="E69">
        <f>IFERROR(C69/D69,0)</f>
        <v/>
      </c>
      <c r="F69">
        <f>H68</f>
        <v/>
      </c>
      <c r="G69">
        <f>IFERROR(SUMIF(Ventes!A:A,A69,Ventes!B:B),0)</f>
        <v/>
      </c>
      <c r="H69">
        <f>MAX(0,F69+E69-G69)</f>
        <v/>
      </c>
      <c r="I69">
        <f>IF(H69&lt;Paramètres!B6,"ALERTE","OK")</f>
        <v/>
      </c>
    </row>
    <row r="70">
      <c r="E70">
        <f>IFERROR(C70/D70,0)</f>
        <v/>
      </c>
      <c r="F70">
        <f>H69</f>
        <v/>
      </c>
      <c r="G70">
        <f>IFERROR(SUMIF(Ventes!A:A,A70,Ventes!B:B),0)</f>
        <v/>
      </c>
      <c r="H70">
        <f>MAX(0,F70+E70-G70)</f>
        <v/>
      </c>
      <c r="I70">
        <f>IF(H70&lt;Paramètres!B6,"ALERTE","OK")</f>
        <v/>
      </c>
    </row>
    <row r="71">
      <c r="E71">
        <f>IFERROR(C71/D71,0)</f>
        <v/>
      </c>
      <c r="F71">
        <f>H70</f>
        <v/>
      </c>
      <c r="G71">
        <f>IFERROR(SUMIF(Ventes!A:A,A71,Ventes!B:B),0)</f>
        <v/>
      </c>
      <c r="H71">
        <f>MAX(0,F71+E71-G71)</f>
        <v/>
      </c>
      <c r="I71">
        <f>IF(H71&lt;Paramètres!B6,"ALERTE","OK")</f>
        <v/>
      </c>
    </row>
    <row r="72">
      <c r="E72">
        <f>IFERROR(C72/D72,0)</f>
        <v/>
      </c>
      <c r="F72">
        <f>H71</f>
        <v/>
      </c>
      <c r="G72">
        <f>IFERROR(SUMIF(Ventes!A:A,A72,Ventes!B:B),0)</f>
        <v/>
      </c>
      <c r="H72">
        <f>MAX(0,F72+E72-G72)</f>
        <v/>
      </c>
      <c r="I72">
        <f>IF(H72&lt;Paramètres!B6,"ALERTE","OK")</f>
        <v/>
      </c>
    </row>
    <row r="73">
      <c r="E73">
        <f>IFERROR(C73/D73,0)</f>
        <v/>
      </c>
      <c r="F73">
        <f>H72</f>
        <v/>
      </c>
      <c r="G73">
        <f>IFERROR(SUMIF(Ventes!A:A,A73,Ventes!B:B),0)</f>
        <v/>
      </c>
      <c r="H73">
        <f>MAX(0,F73+E73-G73)</f>
        <v/>
      </c>
      <c r="I73">
        <f>IF(H73&lt;Paramètres!B6,"ALERTE","OK")</f>
        <v/>
      </c>
    </row>
    <row r="74">
      <c r="E74">
        <f>IFERROR(C74/D74,0)</f>
        <v/>
      </c>
      <c r="F74">
        <f>H73</f>
        <v/>
      </c>
      <c r="G74">
        <f>IFERROR(SUMIF(Ventes!A:A,A74,Ventes!B:B),0)</f>
        <v/>
      </c>
      <c r="H74">
        <f>MAX(0,F74+E74-G74)</f>
        <v/>
      </c>
      <c r="I74">
        <f>IF(H74&lt;Paramètres!B6,"ALERTE","OK")</f>
        <v/>
      </c>
    </row>
    <row r="75">
      <c r="E75">
        <f>IFERROR(C75/D75,0)</f>
        <v/>
      </c>
      <c r="F75">
        <f>H74</f>
        <v/>
      </c>
      <c r="G75">
        <f>IFERROR(SUMIF(Ventes!A:A,A75,Ventes!B:B),0)</f>
        <v/>
      </c>
      <c r="H75">
        <f>MAX(0,F75+E75-G75)</f>
        <v/>
      </c>
      <c r="I75">
        <f>IF(H75&lt;Paramètres!B6,"ALERTE","OK")</f>
        <v/>
      </c>
    </row>
    <row r="76">
      <c r="E76">
        <f>IFERROR(C76/D76,0)</f>
        <v/>
      </c>
      <c r="F76">
        <f>H75</f>
        <v/>
      </c>
      <c r="G76">
        <f>IFERROR(SUMIF(Ventes!A:A,A76,Ventes!B:B),0)</f>
        <v/>
      </c>
      <c r="H76">
        <f>MAX(0,F76+E76-G76)</f>
        <v/>
      </c>
      <c r="I76">
        <f>IF(H76&lt;Paramètres!B6,"ALERTE","OK")</f>
        <v/>
      </c>
    </row>
    <row r="77">
      <c r="E77">
        <f>IFERROR(C77/D77,0)</f>
        <v/>
      </c>
      <c r="F77">
        <f>H76</f>
        <v/>
      </c>
      <c r="G77">
        <f>IFERROR(SUMIF(Ventes!A:A,A77,Ventes!B:B),0)</f>
        <v/>
      </c>
      <c r="H77">
        <f>MAX(0,F77+E77-G77)</f>
        <v/>
      </c>
      <c r="I77">
        <f>IF(H77&lt;Paramètres!B6,"ALERTE","OK")</f>
        <v/>
      </c>
    </row>
    <row r="78">
      <c r="E78">
        <f>IFERROR(C78/D78,0)</f>
        <v/>
      </c>
      <c r="F78">
        <f>H77</f>
        <v/>
      </c>
      <c r="G78">
        <f>IFERROR(SUMIF(Ventes!A:A,A78,Ventes!B:B),0)</f>
        <v/>
      </c>
      <c r="H78">
        <f>MAX(0,F78+E78-G78)</f>
        <v/>
      </c>
      <c r="I78">
        <f>IF(H78&lt;Paramètres!B6,"ALERTE","OK")</f>
        <v/>
      </c>
    </row>
    <row r="79">
      <c r="E79">
        <f>IFERROR(C79/D79,0)</f>
        <v/>
      </c>
      <c r="F79">
        <f>H78</f>
        <v/>
      </c>
      <c r="G79">
        <f>IFERROR(SUMIF(Ventes!A:A,A79,Ventes!B:B),0)</f>
        <v/>
      </c>
      <c r="H79">
        <f>MAX(0,F79+E79-G79)</f>
        <v/>
      </c>
      <c r="I79">
        <f>IF(H79&lt;Paramètres!B6,"ALERTE","OK")</f>
        <v/>
      </c>
    </row>
    <row r="80">
      <c r="E80">
        <f>IFERROR(C80/D80,0)</f>
        <v/>
      </c>
      <c r="F80">
        <f>H79</f>
        <v/>
      </c>
      <c r="G80">
        <f>IFERROR(SUMIF(Ventes!A:A,A80,Ventes!B:B),0)</f>
        <v/>
      </c>
      <c r="H80">
        <f>MAX(0,F80+E80-G80)</f>
        <v/>
      </c>
      <c r="I80">
        <f>IF(H80&lt;Paramètres!B6,"ALERTE","OK")</f>
        <v/>
      </c>
    </row>
    <row r="81">
      <c r="E81">
        <f>IFERROR(C81/D81,0)</f>
        <v/>
      </c>
      <c r="F81">
        <f>H80</f>
        <v/>
      </c>
      <c r="G81">
        <f>IFERROR(SUMIF(Ventes!A:A,A81,Ventes!B:B),0)</f>
        <v/>
      </c>
      <c r="H81">
        <f>MAX(0,F81+E81-G81)</f>
        <v/>
      </c>
      <c r="I81">
        <f>IF(H81&lt;Paramètres!B6,"ALERTE","OK")</f>
        <v/>
      </c>
    </row>
    <row r="82">
      <c r="E82">
        <f>IFERROR(C82/D82,0)</f>
        <v/>
      </c>
      <c r="F82">
        <f>H81</f>
        <v/>
      </c>
      <c r="G82">
        <f>IFERROR(SUMIF(Ventes!A:A,A82,Ventes!B:B),0)</f>
        <v/>
      </c>
      <c r="H82">
        <f>MAX(0,F82+E82-G82)</f>
        <v/>
      </c>
      <c r="I82">
        <f>IF(H82&lt;Paramètres!B6,"ALERTE","OK")</f>
        <v/>
      </c>
    </row>
    <row r="83">
      <c r="E83">
        <f>IFERROR(C83/D83,0)</f>
        <v/>
      </c>
      <c r="F83">
        <f>H82</f>
        <v/>
      </c>
      <c r="G83">
        <f>IFERROR(SUMIF(Ventes!A:A,A83,Ventes!B:B),0)</f>
        <v/>
      </c>
      <c r="H83">
        <f>MAX(0,F83+E83-G83)</f>
        <v/>
      </c>
      <c r="I83">
        <f>IF(H83&lt;Paramètres!B6,"ALERTE","OK")</f>
        <v/>
      </c>
    </row>
    <row r="84">
      <c r="E84">
        <f>IFERROR(C84/D84,0)</f>
        <v/>
      </c>
      <c r="F84">
        <f>H83</f>
        <v/>
      </c>
      <c r="G84">
        <f>IFERROR(SUMIF(Ventes!A:A,A84,Ventes!B:B),0)</f>
        <v/>
      </c>
      <c r="H84">
        <f>MAX(0,F84+E84-G84)</f>
        <v/>
      </c>
      <c r="I84">
        <f>IF(H84&lt;Paramètres!B6,"ALERTE","OK")</f>
        <v/>
      </c>
    </row>
    <row r="85">
      <c r="E85">
        <f>IFERROR(C85/D85,0)</f>
        <v/>
      </c>
      <c r="F85">
        <f>H84</f>
        <v/>
      </c>
      <c r="G85">
        <f>IFERROR(SUMIF(Ventes!A:A,A85,Ventes!B:B),0)</f>
        <v/>
      </c>
      <c r="H85">
        <f>MAX(0,F85+E85-G85)</f>
        <v/>
      </c>
      <c r="I85">
        <f>IF(H85&lt;Paramètres!B6,"ALERTE","OK")</f>
        <v/>
      </c>
    </row>
    <row r="86">
      <c r="E86">
        <f>IFERROR(C86/D86,0)</f>
        <v/>
      </c>
      <c r="F86">
        <f>H85</f>
        <v/>
      </c>
      <c r="G86">
        <f>IFERROR(SUMIF(Ventes!A:A,A86,Ventes!B:B),0)</f>
        <v/>
      </c>
      <c r="H86">
        <f>MAX(0,F86+E86-G86)</f>
        <v/>
      </c>
      <c r="I86">
        <f>IF(H86&lt;Paramètres!B6,"ALERTE","OK")</f>
        <v/>
      </c>
    </row>
    <row r="87">
      <c r="E87">
        <f>IFERROR(C87/D87,0)</f>
        <v/>
      </c>
      <c r="F87">
        <f>H86</f>
        <v/>
      </c>
      <c r="G87">
        <f>IFERROR(SUMIF(Ventes!A:A,A87,Ventes!B:B),0)</f>
        <v/>
      </c>
      <c r="H87">
        <f>MAX(0,F87+E87-G87)</f>
        <v/>
      </c>
      <c r="I87">
        <f>IF(H87&lt;Paramètres!B6,"ALERTE","OK")</f>
        <v/>
      </c>
    </row>
    <row r="88">
      <c r="E88">
        <f>IFERROR(C88/D88,0)</f>
        <v/>
      </c>
      <c r="F88">
        <f>H87</f>
        <v/>
      </c>
      <c r="G88">
        <f>IFERROR(SUMIF(Ventes!A:A,A88,Ventes!B:B),0)</f>
        <v/>
      </c>
      <c r="H88">
        <f>MAX(0,F88+E88-G88)</f>
        <v/>
      </c>
      <c r="I88">
        <f>IF(H88&lt;Paramètres!B6,"ALERTE","OK")</f>
        <v/>
      </c>
    </row>
    <row r="89">
      <c r="E89">
        <f>IFERROR(C89/D89,0)</f>
        <v/>
      </c>
      <c r="F89">
        <f>H88</f>
        <v/>
      </c>
      <c r="G89">
        <f>IFERROR(SUMIF(Ventes!A:A,A89,Ventes!B:B),0)</f>
        <v/>
      </c>
      <c r="H89">
        <f>MAX(0,F89+E89-G89)</f>
        <v/>
      </c>
      <c r="I89">
        <f>IF(H89&lt;Paramètres!B6,"ALERTE","OK")</f>
        <v/>
      </c>
    </row>
    <row r="90">
      <c r="E90">
        <f>IFERROR(C90/D90,0)</f>
        <v/>
      </c>
      <c r="F90">
        <f>H89</f>
        <v/>
      </c>
      <c r="G90">
        <f>IFERROR(SUMIF(Ventes!A:A,A90,Ventes!B:B),0)</f>
        <v/>
      </c>
      <c r="H90">
        <f>MAX(0,F90+E90-G90)</f>
        <v/>
      </c>
      <c r="I90">
        <f>IF(H90&lt;Paramètres!B6,"ALERTE","OK")</f>
        <v/>
      </c>
    </row>
    <row r="91">
      <c r="E91">
        <f>IFERROR(C91/D91,0)</f>
        <v/>
      </c>
      <c r="F91">
        <f>H90</f>
        <v/>
      </c>
      <c r="G91">
        <f>IFERROR(SUMIF(Ventes!A:A,A91,Ventes!B:B),0)</f>
        <v/>
      </c>
      <c r="H91">
        <f>MAX(0,F91+E91-G91)</f>
        <v/>
      </c>
      <c r="I91">
        <f>IF(H91&lt;Paramètres!B6,"ALERTE","OK")</f>
        <v/>
      </c>
    </row>
    <row r="92">
      <c r="E92">
        <f>IFERROR(C92/D92,0)</f>
        <v/>
      </c>
      <c r="F92">
        <f>H91</f>
        <v/>
      </c>
      <c r="G92">
        <f>IFERROR(SUMIF(Ventes!A:A,A92,Ventes!B:B),0)</f>
        <v/>
      </c>
      <c r="H92">
        <f>MAX(0,F92+E92-G92)</f>
        <v/>
      </c>
      <c r="I92">
        <f>IF(H92&lt;Paramètres!B6,"ALERTE","OK")</f>
        <v/>
      </c>
    </row>
    <row r="93">
      <c r="E93">
        <f>IFERROR(C93/D93,0)</f>
        <v/>
      </c>
      <c r="F93">
        <f>H92</f>
        <v/>
      </c>
      <c r="G93">
        <f>IFERROR(SUMIF(Ventes!A:A,A93,Ventes!B:B),0)</f>
        <v/>
      </c>
      <c r="H93">
        <f>MAX(0,F93+E93-G93)</f>
        <v/>
      </c>
      <c r="I93">
        <f>IF(H93&lt;Paramètres!B6,"ALERTE","OK")</f>
        <v/>
      </c>
    </row>
    <row r="94">
      <c r="E94">
        <f>IFERROR(C94/D94,0)</f>
        <v/>
      </c>
      <c r="F94">
        <f>H93</f>
        <v/>
      </c>
      <c r="G94">
        <f>IFERROR(SUMIF(Ventes!A:A,A94,Ventes!B:B),0)</f>
        <v/>
      </c>
      <c r="H94">
        <f>MAX(0,F94+E94-G94)</f>
        <v/>
      </c>
      <c r="I94">
        <f>IF(H94&lt;Paramètres!B6,"ALERTE","OK")</f>
        <v/>
      </c>
    </row>
    <row r="95">
      <c r="E95">
        <f>IFERROR(C95/D95,0)</f>
        <v/>
      </c>
      <c r="F95">
        <f>H94</f>
        <v/>
      </c>
      <c r="G95">
        <f>IFERROR(SUMIF(Ventes!A:A,A95,Ventes!B:B),0)</f>
        <v/>
      </c>
      <c r="H95">
        <f>MAX(0,F95+E95-G95)</f>
        <v/>
      </c>
      <c r="I95">
        <f>IF(H95&lt;Paramètres!B6,"ALERTE","OK")</f>
        <v/>
      </c>
    </row>
    <row r="96">
      <c r="E96">
        <f>IFERROR(C96/D96,0)</f>
        <v/>
      </c>
      <c r="F96">
        <f>H95</f>
        <v/>
      </c>
      <c r="G96">
        <f>IFERROR(SUMIF(Ventes!A:A,A96,Ventes!B:B),0)</f>
        <v/>
      </c>
      <c r="H96">
        <f>MAX(0,F96+E96-G96)</f>
        <v/>
      </c>
      <c r="I96">
        <f>IF(H96&lt;Paramètres!B6,"ALERTE","OK")</f>
        <v/>
      </c>
    </row>
    <row r="97">
      <c r="E97">
        <f>IFERROR(C97/D97,0)</f>
        <v/>
      </c>
      <c r="F97">
        <f>H96</f>
        <v/>
      </c>
      <c r="G97">
        <f>IFERROR(SUMIF(Ventes!A:A,A97,Ventes!B:B),0)</f>
        <v/>
      </c>
      <c r="H97">
        <f>MAX(0,F97+E97-G97)</f>
        <v/>
      </c>
      <c r="I97">
        <f>IF(H97&lt;Paramètres!B6,"ALERTE","OK")</f>
        <v/>
      </c>
    </row>
    <row r="98">
      <c r="E98">
        <f>IFERROR(C98/D98,0)</f>
        <v/>
      </c>
      <c r="F98">
        <f>H97</f>
        <v/>
      </c>
      <c r="G98">
        <f>IFERROR(SUMIF(Ventes!A:A,A98,Ventes!B:B),0)</f>
        <v/>
      </c>
      <c r="H98">
        <f>MAX(0,F98+E98-G98)</f>
        <v/>
      </c>
      <c r="I98">
        <f>IF(H98&lt;Paramètres!B6,"ALERTE","OK")</f>
        <v/>
      </c>
    </row>
    <row r="99">
      <c r="E99">
        <f>IFERROR(C99/D99,0)</f>
        <v/>
      </c>
      <c r="F99">
        <f>H98</f>
        <v/>
      </c>
      <c r="G99">
        <f>IFERROR(SUMIF(Ventes!A:A,A99,Ventes!B:B),0)</f>
        <v/>
      </c>
      <c r="H99">
        <f>MAX(0,F99+E99-G99)</f>
        <v/>
      </c>
      <c r="I99">
        <f>IF(H99&lt;Paramètres!B6,"ALERTE","OK")</f>
        <v/>
      </c>
    </row>
    <row r="100">
      <c r="E100">
        <f>IFERROR(C100/D100,0)</f>
        <v/>
      </c>
      <c r="F100">
        <f>H99</f>
        <v/>
      </c>
      <c r="G100">
        <f>IFERROR(SUMIF(Ventes!A:A,A100,Ventes!B:B),0)</f>
        <v/>
      </c>
      <c r="H100">
        <f>MAX(0,F100+E100-G100)</f>
        <v/>
      </c>
      <c r="I100">
        <f>IF(H100&lt;Paramètres!B6,"ALERTE","OK")</f>
        <v/>
      </c>
    </row>
    <row r="101">
      <c r="E101">
        <f>IFERROR(C101/D101,0)</f>
        <v/>
      </c>
      <c r="F101">
        <f>H100</f>
        <v/>
      </c>
      <c r="G101">
        <f>IFERROR(SUMIF(Ventes!A:A,A101,Ventes!B:B),0)</f>
        <v/>
      </c>
      <c r="H101">
        <f>MAX(0,F101+E101-G101)</f>
        <v/>
      </c>
      <c r="I101">
        <f>IF(H101&lt;Paramètres!B6,"ALERTE","OK")</f>
        <v/>
      </c>
    </row>
    <row r="102">
      <c r="E102">
        <f>IFERROR(C102/D102,0)</f>
        <v/>
      </c>
      <c r="F102">
        <f>H101</f>
        <v/>
      </c>
      <c r="G102">
        <f>IFERROR(SUMIF(Ventes!A:A,A102,Ventes!B:B),0)</f>
        <v/>
      </c>
      <c r="H102">
        <f>MAX(0,F102+E102-G102)</f>
        <v/>
      </c>
      <c r="I102">
        <f>IF(H102&lt;Paramètres!B6,"ALERTE","OK")</f>
        <v/>
      </c>
    </row>
    <row r="103">
      <c r="E103">
        <f>IFERROR(C103/D103,0)</f>
        <v/>
      </c>
      <c r="F103">
        <f>H102</f>
        <v/>
      </c>
      <c r="G103">
        <f>IFERROR(SUMIF(Ventes!A:A,A103,Ventes!B:B),0)</f>
        <v/>
      </c>
      <c r="H103">
        <f>MAX(0,F103+E103-G103)</f>
        <v/>
      </c>
      <c r="I103">
        <f>IF(H103&lt;Paramètres!B6,"ALERTE","OK")</f>
        <v/>
      </c>
    </row>
    <row r="104">
      <c r="E104">
        <f>IFERROR(C104/D104,0)</f>
        <v/>
      </c>
      <c r="F104">
        <f>H103</f>
        <v/>
      </c>
      <c r="G104">
        <f>IFERROR(SUMIF(Ventes!A:A,A104,Ventes!B:B),0)</f>
        <v/>
      </c>
      <c r="H104">
        <f>MAX(0,F104+E104-G104)</f>
        <v/>
      </c>
      <c r="I104">
        <f>IF(H104&lt;Paramètres!B6,"ALERTE","OK")</f>
        <v/>
      </c>
    </row>
    <row r="105">
      <c r="E105">
        <f>IFERROR(C105/D105,0)</f>
        <v/>
      </c>
      <c r="F105">
        <f>H104</f>
        <v/>
      </c>
      <c r="G105">
        <f>IFERROR(SUMIF(Ventes!A:A,A105,Ventes!B:B),0)</f>
        <v/>
      </c>
      <c r="H105">
        <f>MAX(0,F105+E105-G105)</f>
        <v/>
      </c>
      <c r="I105">
        <f>IF(H105&lt;Paramètres!B6,"ALERTE","OK")</f>
        <v/>
      </c>
    </row>
    <row r="106">
      <c r="E106">
        <f>IFERROR(C106/D106,0)</f>
        <v/>
      </c>
      <c r="F106">
        <f>H105</f>
        <v/>
      </c>
      <c r="G106">
        <f>IFERROR(SUMIF(Ventes!A:A,A106,Ventes!B:B),0)</f>
        <v/>
      </c>
      <c r="H106">
        <f>MAX(0,F106+E106-G106)</f>
        <v/>
      </c>
      <c r="I106">
        <f>IF(H106&lt;Paramètres!B6,"ALERTE","OK")</f>
        <v/>
      </c>
    </row>
    <row r="107">
      <c r="E107">
        <f>IFERROR(C107/D107,0)</f>
        <v/>
      </c>
      <c r="F107">
        <f>H106</f>
        <v/>
      </c>
      <c r="G107">
        <f>IFERROR(SUMIF(Ventes!A:A,A107,Ventes!B:B),0)</f>
        <v/>
      </c>
      <c r="H107">
        <f>MAX(0,F107+E107-G107)</f>
        <v/>
      </c>
      <c r="I107">
        <f>IF(H107&lt;Paramètres!B6,"ALERTE","OK")</f>
        <v/>
      </c>
    </row>
    <row r="108">
      <c r="E108">
        <f>IFERROR(C108/D108,0)</f>
        <v/>
      </c>
      <c r="F108">
        <f>H107</f>
        <v/>
      </c>
      <c r="G108">
        <f>IFERROR(SUMIF(Ventes!A:A,A108,Ventes!B:B),0)</f>
        <v/>
      </c>
      <c r="H108">
        <f>MAX(0,F108+E108-G108)</f>
        <v/>
      </c>
      <c r="I108">
        <f>IF(H108&lt;Paramètres!B6,"ALERTE","OK")</f>
        <v/>
      </c>
    </row>
    <row r="109">
      <c r="E109">
        <f>IFERROR(C109/D109,0)</f>
        <v/>
      </c>
      <c r="F109">
        <f>H108</f>
        <v/>
      </c>
      <c r="G109">
        <f>IFERROR(SUMIF(Ventes!A:A,A109,Ventes!B:B),0)</f>
        <v/>
      </c>
      <c r="H109">
        <f>MAX(0,F109+E109-G109)</f>
        <v/>
      </c>
      <c r="I109">
        <f>IF(H109&lt;Paramètres!B6,"ALERTE","OK")</f>
        <v/>
      </c>
    </row>
    <row r="110">
      <c r="E110">
        <f>IFERROR(C110/D110,0)</f>
        <v/>
      </c>
      <c r="F110">
        <f>H109</f>
        <v/>
      </c>
      <c r="G110">
        <f>IFERROR(SUMIF(Ventes!A:A,A110,Ventes!B:B),0)</f>
        <v/>
      </c>
      <c r="H110">
        <f>MAX(0,F110+E110-G110)</f>
        <v/>
      </c>
      <c r="I110">
        <f>IF(H110&lt;Paramètres!B6,"ALERTE","OK")</f>
        <v/>
      </c>
    </row>
    <row r="111">
      <c r="E111">
        <f>IFERROR(C111/D111,0)</f>
        <v/>
      </c>
      <c r="F111">
        <f>H110</f>
        <v/>
      </c>
      <c r="G111">
        <f>IFERROR(SUMIF(Ventes!A:A,A111,Ventes!B:B),0)</f>
        <v/>
      </c>
      <c r="H111">
        <f>MAX(0,F111+E111-G111)</f>
        <v/>
      </c>
      <c r="I111">
        <f>IF(H111&lt;Paramètres!B6,"ALERTE","OK")</f>
        <v/>
      </c>
    </row>
    <row r="112">
      <c r="E112">
        <f>IFERROR(C112/D112,0)</f>
        <v/>
      </c>
      <c r="F112">
        <f>H111</f>
        <v/>
      </c>
      <c r="G112">
        <f>IFERROR(SUMIF(Ventes!A:A,A112,Ventes!B:B),0)</f>
        <v/>
      </c>
      <c r="H112">
        <f>MAX(0,F112+E112-G112)</f>
        <v/>
      </c>
      <c r="I112">
        <f>IF(H112&lt;Paramètres!B6,"ALERTE","OK")</f>
        <v/>
      </c>
    </row>
    <row r="113">
      <c r="E113">
        <f>IFERROR(C113/D113,0)</f>
        <v/>
      </c>
      <c r="F113">
        <f>H112</f>
        <v/>
      </c>
      <c r="G113">
        <f>IFERROR(SUMIF(Ventes!A:A,A113,Ventes!B:B),0)</f>
        <v/>
      </c>
      <c r="H113">
        <f>MAX(0,F113+E113-G113)</f>
        <v/>
      </c>
      <c r="I113">
        <f>IF(H113&lt;Paramètres!B6,"ALERTE","OK")</f>
        <v/>
      </c>
    </row>
    <row r="114">
      <c r="E114">
        <f>IFERROR(C114/D114,0)</f>
        <v/>
      </c>
      <c r="F114">
        <f>H113</f>
        <v/>
      </c>
      <c r="G114">
        <f>IFERROR(SUMIF(Ventes!A:A,A114,Ventes!B:B),0)</f>
        <v/>
      </c>
      <c r="H114">
        <f>MAX(0,F114+E114-G114)</f>
        <v/>
      </c>
      <c r="I114">
        <f>IF(H114&lt;Paramètres!B6,"ALERTE","OK")</f>
        <v/>
      </c>
    </row>
    <row r="115">
      <c r="E115">
        <f>IFERROR(C115/D115,0)</f>
        <v/>
      </c>
      <c r="F115">
        <f>H114</f>
        <v/>
      </c>
      <c r="G115">
        <f>IFERROR(SUMIF(Ventes!A:A,A115,Ventes!B:B),0)</f>
        <v/>
      </c>
      <c r="H115">
        <f>MAX(0,F115+E115-G115)</f>
        <v/>
      </c>
      <c r="I115">
        <f>IF(H115&lt;Paramètres!B6,"ALERTE","OK")</f>
        <v/>
      </c>
    </row>
    <row r="116">
      <c r="E116">
        <f>IFERROR(C116/D116,0)</f>
        <v/>
      </c>
      <c r="F116">
        <f>H115</f>
        <v/>
      </c>
      <c r="G116">
        <f>IFERROR(SUMIF(Ventes!A:A,A116,Ventes!B:B),0)</f>
        <v/>
      </c>
      <c r="H116">
        <f>MAX(0,F116+E116-G116)</f>
        <v/>
      </c>
      <c r="I116">
        <f>IF(H116&lt;Paramètres!B6,"ALERTE","OK")</f>
        <v/>
      </c>
    </row>
    <row r="117">
      <c r="E117">
        <f>IFERROR(C117/D117,0)</f>
        <v/>
      </c>
      <c r="F117">
        <f>H116</f>
        <v/>
      </c>
      <c r="G117">
        <f>IFERROR(SUMIF(Ventes!A:A,A117,Ventes!B:B),0)</f>
        <v/>
      </c>
      <c r="H117">
        <f>MAX(0,F117+E117-G117)</f>
        <v/>
      </c>
      <c r="I117">
        <f>IF(H117&lt;Paramètres!B6,"ALERTE","OK")</f>
        <v/>
      </c>
    </row>
    <row r="118">
      <c r="E118">
        <f>IFERROR(C118/D118,0)</f>
        <v/>
      </c>
      <c r="F118">
        <f>H117</f>
        <v/>
      </c>
      <c r="G118">
        <f>IFERROR(SUMIF(Ventes!A:A,A118,Ventes!B:B),0)</f>
        <v/>
      </c>
      <c r="H118">
        <f>MAX(0,F118+E118-G118)</f>
        <v/>
      </c>
      <c r="I118">
        <f>IF(H118&lt;Paramètres!B6,"ALERTE","OK")</f>
        <v/>
      </c>
    </row>
    <row r="119">
      <c r="E119">
        <f>IFERROR(C119/D119,0)</f>
        <v/>
      </c>
      <c r="F119">
        <f>H118</f>
        <v/>
      </c>
      <c r="G119">
        <f>IFERROR(SUMIF(Ventes!A:A,A119,Ventes!B:B),0)</f>
        <v/>
      </c>
      <c r="H119">
        <f>MAX(0,F119+E119-G119)</f>
        <v/>
      </c>
      <c r="I119">
        <f>IF(H119&lt;Paramètres!B6,"ALERTE","OK")</f>
        <v/>
      </c>
    </row>
    <row r="120">
      <c r="E120">
        <f>IFERROR(C120/D120,0)</f>
        <v/>
      </c>
      <c r="F120">
        <f>H119</f>
        <v/>
      </c>
      <c r="G120">
        <f>IFERROR(SUMIF(Ventes!A:A,A120,Ventes!B:B),0)</f>
        <v/>
      </c>
      <c r="H120">
        <f>MAX(0,F120+E120-G120)</f>
        <v/>
      </c>
      <c r="I120">
        <f>IF(H120&lt;Paramètres!B6,"ALERTE","OK")</f>
        <v/>
      </c>
    </row>
    <row r="121">
      <c r="E121">
        <f>IFERROR(C121/D121,0)</f>
        <v/>
      </c>
      <c r="F121">
        <f>H120</f>
        <v/>
      </c>
      <c r="G121">
        <f>IFERROR(SUMIF(Ventes!A:A,A121,Ventes!B:B),0)</f>
        <v/>
      </c>
      <c r="H121">
        <f>MAX(0,F121+E121-G121)</f>
        <v/>
      </c>
      <c r="I121">
        <f>IF(H121&lt;Paramètres!B6,"ALERTE","OK")</f>
        <v/>
      </c>
    </row>
    <row r="122">
      <c r="E122">
        <f>IFERROR(C122/D122,0)</f>
        <v/>
      </c>
      <c r="F122">
        <f>H121</f>
        <v/>
      </c>
      <c r="G122">
        <f>IFERROR(SUMIF(Ventes!A:A,A122,Ventes!B:B),0)</f>
        <v/>
      </c>
      <c r="H122">
        <f>MAX(0,F122+E122-G122)</f>
        <v/>
      </c>
      <c r="I122">
        <f>IF(H122&lt;Paramètres!B6,"ALERTE","OK")</f>
        <v/>
      </c>
    </row>
    <row r="123">
      <c r="E123">
        <f>IFERROR(C123/D123,0)</f>
        <v/>
      </c>
      <c r="F123">
        <f>H122</f>
        <v/>
      </c>
      <c r="G123">
        <f>IFERROR(SUMIF(Ventes!A:A,A123,Ventes!B:B),0)</f>
        <v/>
      </c>
      <c r="H123">
        <f>MAX(0,F123+E123-G123)</f>
        <v/>
      </c>
      <c r="I123">
        <f>IF(H123&lt;Paramètres!B6,"ALERTE","OK")</f>
        <v/>
      </c>
    </row>
    <row r="124">
      <c r="E124">
        <f>IFERROR(C124/D124,0)</f>
        <v/>
      </c>
      <c r="F124">
        <f>H123</f>
        <v/>
      </c>
      <c r="G124">
        <f>IFERROR(SUMIF(Ventes!A:A,A124,Ventes!B:B),0)</f>
        <v/>
      </c>
      <c r="H124">
        <f>MAX(0,F124+E124-G124)</f>
        <v/>
      </c>
      <c r="I124">
        <f>IF(H124&lt;Paramètres!B6,"ALERTE","OK")</f>
        <v/>
      </c>
    </row>
    <row r="125">
      <c r="E125">
        <f>IFERROR(C125/D125,0)</f>
        <v/>
      </c>
      <c r="F125">
        <f>H124</f>
        <v/>
      </c>
      <c r="G125">
        <f>IFERROR(SUMIF(Ventes!A:A,A125,Ventes!B:B),0)</f>
        <v/>
      </c>
      <c r="H125">
        <f>MAX(0,F125+E125-G125)</f>
        <v/>
      </c>
      <c r="I125">
        <f>IF(H125&lt;Paramètres!B6,"ALERTE","OK")</f>
        <v/>
      </c>
    </row>
    <row r="126">
      <c r="E126">
        <f>IFERROR(C126/D126,0)</f>
        <v/>
      </c>
      <c r="F126">
        <f>H125</f>
        <v/>
      </c>
      <c r="G126">
        <f>IFERROR(SUMIF(Ventes!A:A,A126,Ventes!B:B),0)</f>
        <v/>
      </c>
      <c r="H126">
        <f>MAX(0,F126+E126-G126)</f>
        <v/>
      </c>
      <c r="I126">
        <f>IF(H126&lt;Paramètres!B6,"ALERTE","OK")</f>
        <v/>
      </c>
    </row>
    <row r="127">
      <c r="E127">
        <f>IFERROR(C127/D127,0)</f>
        <v/>
      </c>
      <c r="F127">
        <f>H126</f>
        <v/>
      </c>
      <c r="G127">
        <f>IFERROR(SUMIF(Ventes!A:A,A127,Ventes!B:B),0)</f>
        <v/>
      </c>
      <c r="H127">
        <f>MAX(0,F127+E127-G127)</f>
        <v/>
      </c>
      <c r="I127">
        <f>IF(H127&lt;Paramètres!B6,"ALERTE","OK")</f>
        <v/>
      </c>
    </row>
    <row r="128">
      <c r="E128">
        <f>IFERROR(C128/D128,0)</f>
        <v/>
      </c>
      <c r="F128">
        <f>H127</f>
        <v/>
      </c>
      <c r="G128">
        <f>IFERROR(SUMIF(Ventes!A:A,A128,Ventes!B:B),0)</f>
        <v/>
      </c>
      <c r="H128">
        <f>MAX(0,F128+E128-G128)</f>
        <v/>
      </c>
      <c r="I128">
        <f>IF(H128&lt;Paramètres!B6,"ALERTE","OK")</f>
        <v/>
      </c>
    </row>
    <row r="129">
      <c r="E129">
        <f>IFERROR(C129/D129,0)</f>
        <v/>
      </c>
      <c r="F129">
        <f>H128</f>
        <v/>
      </c>
      <c r="G129">
        <f>IFERROR(SUMIF(Ventes!A:A,A129,Ventes!B:B),0)</f>
        <v/>
      </c>
      <c r="H129">
        <f>MAX(0,F129+E129-G129)</f>
        <v/>
      </c>
      <c r="I129">
        <f>IF(H129&lt;Paramètres!B6,"ALERTE","OK")</f>
        <v/>
      </c>
    </row>
    <row r="130">
      <c r="E130">
        <f>IFERROR(C130/D130,0)</f>
        <v/>
      </c>
      <c r="F130">
        <f>H129</f>
        <v/>
      </c>
      <c r="G130">
        <f>IFERROR(SUMIF(Ventes!A:A,A130,Ventes!B:B),0)</f>
        <v/>
      </c>
      <c r="H130">
        <f>MAX(0,F130+E130-G130)</f>
        <v/>
      </c>
      <c r="I130">
        <f>IF(H130&lt;Paramètres!B6,"ALERTE","OK")</f>
        <v/>
      </c>
    </row>
    <row r="131">
      <c r="E131">
        <f>IFERROR(C131/D131,0)</f>
        <v/>
      </c>
      <c r="F131">
        <f>H130</f>
        <v/>
      </c>
      <c r="G131">
        <f>IFERROR(SUMIF(Ventes!A:A,A131,Ventes!B:B),0)</f>
        <v/>
      </c>
      <c r="H131">
        <f>MAX(0,F131+E131-G131)</f>
        <v/>
      </c>
      <c r="I131">
        <f>IF(H131&lt;Paramètres!B6,"ALERTE","OK")</f>
        <v/>
      </c>
    </row>
    <row r="132">
      <c r="E132">
        <f>IFERROR(C132/D132,0)</f>
        <v/>
      </c>
      <c r="F132">
        <f>H131</f>
        <v/>
      </c>
      <c r="G132">
        <f>IFERROR(SUMIF(Ventes!A:A,A132,Ventes!B:B),0)</f>
        <v/>
      </c>
      <c r="H132">
        <f>MAX(0,F132+E132-G132)</f>
        <v/>
      </c>
      <c r="I132">
        <f>IF(H132&lt;Paramètres!B6,"ALERTE","OK")</f>
        <v/>
      </c>
    </row>
    <row r="133">
      <c r="E133">
        <f>IFERROR(C133/D133,0)</f>
        <v/>
      </c>
      <c r="F133">
        <f>H132</f>
        <v/>
      </c>
      <c r="G133">
        <f>IFERROR(SUMIF(Ventes!A:A,A133,Ventes!B:B),0)</f>
        <v/>
      </c>
      <c r="H133">
        <f>MAX(0,F133+E133-G133)</f>
        <v/>
      </c>
      <c r="I133">
        <f>IF(H133&lt;Paramètres!B6,"ALERTE","OK")</f>
        <v/>
      </c>
    </row>
    <row r="134">
      <c r="E134">
        <f>IFERROR(C134/D134,0)</f>
        <v/>
      </c>
      <c r="F134">
        <f>H133</f>
        <v/>
      </c>
      <c r="G134">
        <f>IFERROR(SUMIF(Ventes!A:A,A134,Ventes!B:B),0)</f>
        <v/>
      </c>
      <c r="H134">
        <f>MAX(0,F134+E134-G134)</f>
        <v/>
      </c>
      <c r="I134">
        <f>IF(H134&lt;Paramètres!B6,"ALERTE","OK")</f>
        <v/>
      </c>
    </row>
    <row r="135">
      <c r="E135">
        <f>IFERROR(C135/D135,0)</f>
        <v/>
      </c>
      <c r="F135">
        <f>H134</f>
        <v/>
      </c>
      <c r="G135">
        <f>IFERROR(SUMIF(Ventes!A:A,A135,Ventes!B:B),0)</f>
        <v/>
      </c>
      <c r="H135">
        <f>MAX(0,F135+E135-G135)</f>
        <v/>
      </c>
      <c r="I135">
        <f>IF(H135&lt;Paramètres!B6,"ALERTE","OK")</f>
        <v/>
      </c>
    </row>
    <row r="136">
      <c r="E136">
        <f>IFERROR(C136/D136,0)</f>
        <v/>
      </c>
      <c r="F136">
        <f>H135</f>
        <v/>
      </c>
      <c r="G136">
        <f>IFERROR(SUMIF(Ventes!A:A,A136,Ventes!B:B),0)</f>
        <v/>
      </c>
      <c r="H136">
        <f>MAX(0,F136+E136-G136)</f>
        <v/>
      </c>
      <c r="I136">
        <f>IF(H136&lt;Paramètres!B6,"ALERTE","OK")</f>
        <v/>
      </c>
    </row>
    <row r="137">
      <c r="E137">
        <f>IFERROR(C137/D137,0)</f>
        <v/>
      </c>
      <c r="F137">
        <f>H136</f>
        <v/>
      </c>
      <c r="G137">
        <f>IFERROR(SUMIF(Ventes!A:A,A137,Ventes!B:B),0)</f>
        <v/>
      </c>
      <c r="H137">
        <f>MAX(0,F137+E137-G137)</f>
        <v/>
      </c>
      <c r="I137">
        <f>IF(H137&lt;Paramètres!B6,"ALERTE","OK")</f>
        <v/>
      </c>
    </row>
    <row r="138">
      <c r="E138">
        <f>IFERROR(C138/D138,0)</f>
        <v/>
      </c>
      <c r="F138">
        <f>H137</f>
        <v/>
      </c>
      <c r="G138">
        <f>IFERROR(SUMIF(Ventes!A:A,A138,Ventes!B:B),0)</f>
        <v/>
      </c>
      <c r="H138">
        <f>MAX(0,F138+E138-G138)</f>
        <v/>
      </c>
      <c r="I138">
        <f>IF(H138&lt;Paramètres!B6,"ALERTE","OK")</f>
        <v/>
      </c>
    </row>
    <row r="139">
      <c r="E139">
        <f>IFERROR(C139/D139,0)</f>
        <v/>
      </c>
      <c r="F139">
        <f>H138</f>
        <v/>
      </c>
      <c r="G139">
        <f>IFERROR(SUMIF(Ventes!A:A,A139,Ventes!B:B),0)</f>
        <v/>
      </c>
      <c r="H139">
        <f>MAX(0,F139+E139-G139)</f>
        <v/>
      </c>
      <c r="I139">
        <f>IF(H139&lt;Paramètres!B6,"ALERTE","OK")</f>
        <v/>
      </c>
    </row>
    <row r="140">
      <c r="E140">
        <f>IFERROR(C140/D140,0)</f>
        <v/>
      </c>
      <c r="F140">
        <f>H139</f>
        <v/>
      </c>
      <c r="G140">
        <f>IFERROR(SUMIF(Ventes!A:A,A140,Ventes!B:B),0)</f>
        <v/>
      </c>
      <c r="H140">
        <f>MAX(0,F140+E140-G140)</f>
        <v/>
      </c>
      <c r="I140">
        <f>IF(H140&lt;Paramètres!B6,"ALERTE","OK")</f>
        <v/>
      </c>
    </row>
    <row r="141">
      <c r="E141">
        <f>IFERROR(C141/D141,0)</f>
        <v/>
      </c>
      <c r="F141">
        <f>H140</f>
        <v/>
      </c>
      <c r="G141">
        <f>IFERROR(SUMIF(Ventes!A:A,A141,Ventes!B:B),0)</f>
        <v/>
      </c>
      <c r="H141">
        <f>MAX(0,F141+E141-G141)</f>
        <v/>
      </c>
      <c r="I141">
        <f>IF(H141&lt;Paramètres!B6,"ALERTE","OK")</f>
        <v/>
      </c>
    </row>
    <row r="142">
      <c r="E142">
        <f>IFERROR(C142/D142,0)</f>
        <v/>
      </c>
      <c r="F142">
        <f>H141</f>
        <v/>
      </c>
      <c r="G142">
        <f>IFERROR(SUMIF(Ventes!A:A,A142,Ventes!B:B),0)</f>
        <v/>
      </c>
      <c r="H142">
        <f>MAX(0,F142+E142-G142)</f>
        <v/>
      </c>
      <c r="I142">
        <f>IF(H142&lt;Paramètres!B6,"ALERTE","OK")</f>
        <v/>
      </c>
    </row>
    <row r="143">
      <c r="E143">
        <f>IFERROR(C143/D143,0)</f>
        <v/>
      </c>
      <c r="F143">
        <f>H142</f>
        <v/>
      </c>
      <c r="G143">
        <f>IFERROR(SUMIF(Ventes!A:A,A143,Ventes!B:B),0)</f>
        <v/>
      </c>
      <c r="H143">
        <f>MAX(0,F143+E143-G143)</f>
        <v/>
      </c>
      <c r="I143">
        <f>IF(H143&lt;Paramètres!B6,"ALERTE","OK")</f>
        <v/>
      </c>
    </row>
    <row r="144">
      <c r="E144">
        <f>IFERROR(C144/D144,0)</f>
        <v/>
      </c>
      <c r="F144">
        <f>H143</f>
        <v/>
      </c>
      <c r="G144">
        <f>IFERROR(SUMIF(Ventes!A:A,A144,Ventes!B:B),0)</f>
        <v/>
      </c>
      <c r="H144">
        <f>MAX(0,F144+E144-G144)</f>
        <v/>
      </c>
      <c r="I144">
        <f>IF(H144&lt;Paramètres!B6,"ALERTE","OK")</f>
        <v/>
      </c>
    </row>
    <row r="145">
      <c r="E145">
        <f>IFERROR(C145/D145,0)</f>
        <v/>
      </c>
      <c r="F145">
        <f>H144</f>
        <v/>
      </c>
      <c r="G145">
        <f>IFERROR(SUMIF(Ventes!A:A,A145,Ventes!B:B),0)</f>
        <v/>
      </c>
      <c r="H145">
        <f>MAX(0,F145+E145-G145)</f>
        <v/>
      </c>
      <c r="I145">
        <f>IF(H145&lt;Paramètres!B6,"ALERTE","OK")</f>
        <v/>
      </c>
    </row>
    <row r="146">
      <c r="E146">
        <f>IFERROR(C146/D146,0)</f>
        <v/>
      </c>
      <c r="F146">
        <f>H145</f>
        <v/>
      </c>
      <c r="G146">
        <f>IFERROR(SUMIF(Ventes!A:A,A146,Ventes!B:B),0)</f>
        <v/>
      </c>
      <c r="H146">
        <f>MAX(0,F146+E146-G146)</f>
        <v/>
      </c>
      <c r="I146">
        <f>IF(H146&lt;Paramètres!B6,"ALERTE","OK")</f>
        <v/>
      </c>
    </row>
    <row r="147">
      <c r="E147">
        <f>IFERROR(C147/D147,0)</f>
        <v/>
      </c>
      <c r="F147">
        <f>H146</f>
        <v/>
      </c>
      <c r="G147">
        <f>IFERROR(SUMIF(Ventes!A:A,A147,Ventes!B:B),0)</f>
        <v/>
      </c>
      <c r="H147">
        <f>MAX(0,F147+E147-G147)</f>
        <v/>
      </c>
      <c r="I147">
        <f>IF(H147&lt;Paramètres!B6,"ALERTE","OK")</f>
        <v/>
      </c>
    </row>
    <row r="148">
      <c r="E148">
        <f>IFERROR(C148/D148,0)</f>
        <v/>
      </c>
      <c r="F148">
        <f>H147</f>
        <v/>
      </c>
      <c r="G148">
        <f>IFERROR(SUMIF(Ventes!A:A,A148,Ventes!B:B),0)</f>
        <v/>
      </c>
      <c r="H148">
        <f>MAX(0,F148+E148-G148)</f>
        <v/>
      </c>
      <c r="I148">
        <f>IF(H148&lt;Paramètres!B6,"ALERTE","OK")</f>
        <v/>
      </c>
    </row>
    <row r="149">
      <c r="E149">
        <f>IFERROR(C149/D149,0)</f>
        <v/>
      </c>
      <c r="F149">
        <f>H148</f>
        <v/>
      </c>
      <c r="G149">
        <f>IFERROR(SUMIF(Ventes!A:A,A149,Ventes!B:B),0)</f>
        <v/>
      </c>
      <c r="H149">
        <f>MAX(0,F149+E149-G149)</f>
        <v/>
      </c>
      <c r="I149">
        <f>IF(H149&lt;Paramètres!B6,"ALERTE","OK")</f>
        <v/>
      </c>
    </row>
    <row r="150">
      <c r="E150">
        <f>IFERROR(C150/D150,0)</f>
        <v/>
      </c>
      <c r="F150">
        <f>H149</f>
        <v/>
      </c>
      <c r="G150">
        <f>IFERROR(SUMIF(Ventes!A:A,A150,Ventes!B:B),0)</f>
        <v/>
      </c>
      <c r="H150">
        <f>MAX(0,F150+E150-G150)</f>
        <v/>
      </c>
      <c r="I150">
        <f>IF(H150&lt;Paramètres!B6,"ALERTE","OK")</f>
        <v/>
      </c>
    </row>
    <row r="151">
      <c r="E151">
        <f>IFERROR(C151/D151,0)</f>
        <v/>
      </c>
      <c r="F151">
        <f>H150</f>
        <v/>
      </c>
      <c r="G151">
        <f>IFERROR(SUMIF(Ventes!A:A,A151,Ventes!B:B),0)</f>
        <v/>
      </c>
      <c r="H151">
        <f>MAX(0,F151+E151-G151)</f>
        <v/>
      </c>
      <c r="I151">
        <f>IF(H151&lt;Paramètres!B6,"ALERTE","OK")</f>
        <v/>
      </c>
    </row>
    <row r="152">
      <c r="E152">
        <f>IFERROR(C152/D152,0)</f>
        <v/>
      </c>
      <c r="F152">
        <f>H151</f>
        <v/>
      </c>
      <c r="G152">
        <f>IFERROR(SUMIF(Ventes!A:A,A152,Ventes!B:B),0)</f>
        <v/>
      </c>
      <c r="H152">
        <f>MAX(0,F152+E152-G152)</f>
        <v/>
      </c>
      <c r="I152">
        <f>IF(H152&lt;Paramètres!B6,"ALERTE","OK")</f>
        <v/>
      </c>
    </row>
    <row r="153">
      <c r="E153">
        <f>IFERROR(C153/D153,0)</f>
        <v/>
      </c>
      <c r="F153">
        <f>H152</f>
        <v/>
      </c>
      <c r="G153">
        <f>IFERROR(SUMIF(Ventes!A:A,A153,Ventes!B:B),0)</f>
        <v/>
      </c>
      <c r="H153">
        <f>MAX(0,F153+E153-G153)</f>
        <v/>
      </c>
      <c r="I153">
        <f>IF(H153&lt;Paramètres!B6,"ALERTE","OK")</f>
        <v/>
      </c>
    </row>
    <row r="154">
      <c r="E154">
        <f>IFERROR(C154/D154,0)</f>
        <v/>
      </c>
      <c r="F154">
        <f>H153</f>
        <v/>
      </c>
      <c r="G154">
        <f>IFERROR(SUMIF(Ventes!A:A,A154,Ventes!B:B),0)</f>
        <v/>
      </c>
      <c r="H154">
        <f>MAX(0,F154+E154-G154)</f>
        <v/>
      </c>
      <c r="I154">
        <f>IF(H154&lt;Paramètres!B6,"ALERTE","OK")</f>
        <v/>
      </c>
    </row>
    <row r="155">
      <c r="E155">
        <f>IFERROR(C155/D155,0)</f>
        <v/>
      </c>
      <c r="F155">
        <f>H154</f>
        <v/>
      </c>
      <c r="G155">
        <f>IFERROR(SUMIF(Ventes!A:A,A155,Ventes!B:B),0)</f>
        <v/>
      </c>
      <c r="H155">
        <f>MAX(0,F155+E155-G155)</f>
        <v/>
      </c>
      <c r="I155">
        <f>IF(H155&lt;Paramètres!B6,"ALERTE","OK")</f>
        <v/>
      </c>
    </row>
    <row r="156">
      <c r="E156">
        <f>IFERROR(C156/D156,0)</f>
        <v/>
      </c>
      <c r="F156">
        <f>H155</f>
        <v/>
      </c>
      <c r="G156">
        <f>IFERROR(SUMIF(Ventes!A:A,A156,Ventes!B:B),0)</f>
        <v/>
      </c>
      <c r="H156">
        <f>MAX(0,F156+E156-G156)</f>
        <v/>
      </c>
      <c r="I156">
        <f>IF(H156&lt;Paramètres!B6,"ALERTE","OK")</f>
        <v/>
      </c>
    </row>
    <row r="157">
      <c r="E157">
        <f>IFERROR(C157/D157,0)</f>
        <v/>
      </c>
      <c r="F157">
        <f>H156</f>
        <v/>
      </c>
      <c r="G157">
        <f>IFERROR(SUMIF(Ventes!A:A,A157,Ventes!B:B),0)</f>
        <v/>
      </c>
      <c r="H157">
        <f>MAX(0,F157+E157-G157)</f>
        <v/>
      </c>
      <c r="I157">
        <f>IF(H157&lt;Paramètres!B6,"ALERTE","OK")</f>
        <v/>
      </c>
    </row>
    <row r="158">
      <c r="E158">
        <f>IFERROR(C158/D158,0)</f>
        <v/>
      </c>
      <c r="F158">
        <f>H157</f>
        <v/>
      </c>
      <c r="G158">
        <f>IFERROR(SUMIF(Ventes!A:A,A158,Ventes!B:B),0)</f>
        <v/>
      </c>
      <c r="H158">
        <f>MAX(0,F158+E158-G158)</f>
        <v/>
      </c>
      <c r="I158">
        <f>IF(H158&lt;Paramètres!B6,"ALERTE","OK")</f>
        <v/>
      </c>
    </row>
    <row r="159">
      <c r="E159">
        <f>IFERROR(C159/D159,0)</f>
        <v/>
      </c>
      <c r="F159">
        <f>H158</f>
        <v/>
      </c>
      <c r="G159">
        <f>IFERROR(SUMIF(Ventes!A:A,A159,Ventes!B:B),0)</f>
        <v/>
      </c>
      <c r="H159">
        <f>MAX(0,F159+E159-G159)</f>
        <v/>
      </c>
      <c r="I159">
        <f>IF(H159&lt;Paramètres!B6,"ALERTE","OK")</f>
        <v/>
      </c>
    </row>
    <row r="160">
      <c r="E160">
        <f>IFERROR(C160/D160,0)</f>
        <v/>
      </c>
      <c r="F160">
        <f>H159</f>
        <v/>
      </c>
      <c r="G160">
        <f>IFERROR(SUMIF(Ventes!A:A,A160,Ventes!B:B),0)</f>
        <v/>
      </c>
      <c r="H160">
        <f>MAX(0,F160+E160-G160)</f>
        <v/>
      </c>
      <c r="I160">
        <f>IF(H160&lt;Paramètres!B6,"ALERTE","OK")</f>
        <v/>
      </c>
    </row>
    <row r="161">
      <c r="E161">
        <f>IFERROR(C161/D161,0)</f>
        <v/>
      </c>
      <c r="F161">
        <f>H160</f>
        <v/>
      </c>
      <c r="G161">
        <f>IFERROR(SUMIF(Ventes!A:A,A161,Ventes!B:B),0)</f>
        <v/>
      </c>
      <c r="H161">
        <f>MAX(0,F161+E161-G161)</f>
        <v/>
      </c>
      <c r="I161">
        <f>IF(H161&lt;Paramètres!B6,"ALERTE","OK")</f>
        <v/>
      </c>
    </row>
    <row r="162">
      <c r="E162">
        <f>IFERROR(C162/D162,0)</f>
        <v/>
      </c>
      <c r="F162">
        <f>H161</f>
        <v/>
      </c>
      <c r="G162">
        <f>IFERROR(SUMIF(Ventes!A:A,A162,Ventes!B:B),0)</f>
        <v/>
      </c>
      <c r="H162">
        <f>MAX(0,F162+E162-G162)</f>
        <v/>
      </c>
      <c r="I162">
        <f>IF(H162&lt;Paramètres!B6,"ALERTE","OK")</f>
        <v/>
      </c>
    </row>
    <row r="163">
      <c r="E163">
        <f>IFERROR(C163/D163,0)</f>
        <v/>
      </c>
      <c r="F163">
        <f>H162</f>
        <v/>
      </c>
      <c r="G163">
        <f>IFERROR(SUMIF(Ventes!A:A,A163,Ventes!B:B),0)</f>
        <v/>
      </c>
      <c r="H163">
        <f>MAX(0,F163+E163-G163)</f>
        <v/>
      </c>
      <c r="I163">
        <f>IF(H163&lt;Paramètres!B6,"ALERTE","OK")</f>
        <v/>
      </c>
    </row>
    <row r="164">
      <c r="E164">
        <f>IFERROR(C164/D164,0)</f>
        <v/>
      </c>
      <c r="F164">
        <f>H163</f>
        <v/>
      </c>
      <c r="G164">
        <f>IFERROR(SUMIF(Ventes!A:A,A164,Ventes!B:B),0)</f>
        <v/>
      </c>
      <c r="H164">
        <f>MAX(0,F164+E164-G164)</f>
        <v/>
      </c>
      <c r="I164">
        <f>IF(H164&lt;Paramètres!B6,"ALERTE","OK")</f>
        <v/>
      </c>
    </row>
    <row r="165">
      <c r="E165">
        <f>IFERROR(C165/D165,0)</f>
        <v/>
      </c>
      <c r="F165">
        <f>H164</f>
        <v/>
      </c>
      <c r="G165">
        <f>IFERROR(SUMIF(Ventes!A:A,A165,Ventes!B:B),0)</f>
        <v/>
      </c>
      <c r="H165">
        <f>MAX(0,F165+E165-G165)</f>
        <v/>
      </c>
      <c r="I165">
        <f>IF(H165&lt;Paramètres!B6,"ALERTE","OK")</f>
        <v/>
      </c>
    </row>
    <row r="166">
      <c r="E166">
        <f>IFERROR(C166/D166,0)</f>
        <v/>
      </c>
      <c r="F166">
        <f>H165</f>
        <v/>
      </c>
      <c r="G166">
        <f>IFERROR(SUMIF(Ventes!A:A,A166,Ventes!B:B),0)</f>
        <v/>
      </c>
      <c r="H166">
        <f>MAX(0,F166+E166-G166)</f>
        <v/>
      </c>
      <c r="I166">
        <f>IF(H166&lt;Paramètres!B6,"ALERTE","OK")</f>
        <v/>
      </c>
    </row>
    <row r="167">
      <c r="E167">
        <f>IFERROR(C167/D167,0)</f>
        <v/>
      </c>
      <c r="F167">
        <f>H166</f>
        <v/>
      </c>
      <c r="G167">
        <f>IFERROR(SUMIF(Ventes!A:A,A167,Ventes!B:B),0)</f>
        <v/>
      </c>
      <c r="H167">
        <f>MAX(0,F167+E167-G167)</f>
        <v/>
      </c>
      <c r="I167">
        <f>IF(H167&lt;Paramètres!B6,"ALERTE","OK")</f>
        <v/>
      </c>
    </row>
    <row r="168">
      <c r="E168">
        <f>IFERROR(C168/D168,0)</f>
        <v/>
      </c>
      <c r="F168">
        <f>H167</f>
        <v/>
      </c>
      <c r="G168">
        <f>IFERROR(SUMIF(Ventes!A:A,A168,Ventes!B:B),0)</f>
        <v/>
      </c>
      <c r="H168">
        <f>MAX(0,F168+E168-G168)</f>
        <v/>
      </c>
      <c r="I168">
        <f>IF(H168&lt;Paramètres!B6,"ALERTE","OK")</f>
        <v/>
      </c>
    </row>
    <row r="169">
      <c r="E169">
        <f>IFERROR(C169/D169,0)</f>
        <v/>
      </c>
      <c r="F169">
        <f>H168</f>
        <v/>
      </c>
      <c r="G169">
        <f>IFERROR(SUMIF(Ventes!A:A,A169,Ventes!B:B),0)</f>
        <v/>
      </c>
      <c r="H169">
        <f>MAX(0,F169+E169-G169)</f>
        <v/>
      </c>
      <c r="I169">
        <f>IF(H169&lt;Paramètres!B6,"ALERTE","OK")</f>
        <v/>
      </c>
    </row>
    <row r="170">
      <c r="E170">
        <f>IFERROR(C170/D170,0)</f>
        <v/>
      </c>
      <c r="F170">
        <f>H169</f>
        <v/>
      </c>
      <c r="G170">
        <f>IFERROR(SUMIF(Ventes!A:A,A170,Ventes!B:B),0)</f>
        <v/>
      </c>
      <c r="H170">
        <f>MAX(0,F170+E170-G170)</f>
        <v/>
      </c>
      <c r="I170">
        <f>IF(H170&lt;Paramètres!B6,"ALERTE","OK")</f>
        <v/>
      </c>
    </row>
    <row r="171">
      <c r="E171">
        <f>IFERROR(C171/D171,0)</f>
        <v/>
      </c>
      <c r="F171">
        <f>H170</f>
        <v/>
      </c>
      <c r="G171">
        <f>IFERROR(SUMIF(Ventes!A:A,A171,Ventes!B:B),0)</f>
        <v/>
      </c>
      <c r="H171">
        <f>MAX(0,F171+E171-G171)</f>
        <v/>
      </c>
      <c r="I171">
        <f>IF(H171&lt;Paramètres!B6,"ALERTE","OK")</f>
        <v/>
      </c>
    </row>
    <row r="172">
      <c r="E172">
        <f>IFERROR(C172/D172,0)</f>
        <v/>
      </c>
      <c r="F172">
        <f>H171</f>
        <v/>
      </c>
      <c r="G172">
        <f>IFERROR(SUMIF(Ventes!A:A,A172,Ventes!B:B),0)</f>
        <v/>
      </c>
      <c r="H172">
        <f>MAX(0,F172+E172-G172)</f>
        <v/>
      </c>
      <c r="I172">
        <f>IF(H172&lt;Paramètres!B6,"ALERTE","OK")</f>
        <v/>
      </c>
    </row>
    <row r="173">
      <c r="E173">
        <f>IFERROR(C173/D173,0)</f>
        <v/>
      </c>
      <c r="F173">
        <f>H172</f>
        <v/>
      </c>
      <c r="G173">
        <f>IFERROR(SUMIF(Ventes!A:A,A173,Ventes!B:B),0)</f>
        <v/>
      </c>
      <c r="H173">
        <f>MAX(0,F173+E173-G173)</f>
        <v/>
      </c>
      <c r="I173">
        <f>IF(H173&lt;Paramètres!B6,"ALERTE","OK")</f>
        <v/>
      </c>
    </row>
    <row r="174">
      <c r="E174">
        <f>IFERROR(C174/D174,0)</f>
        <v/>
      </c>
      <c r="F174">
        <f>H173</f>
        <v/>
      </c>
      <c r="G174">
        <f>IFERROR(SUMIF(Ventes!A:A,A174,Ventes!B:B),0)</f>
        <v/>
      </c>
      <c r="H174">
        <f>MAX(0,F174+E174-G174)</f>
        <v/>
      </c>
      <c r="I174">
        <f>IF(H174&lt;Paramètres!B6,"ALERTE","OK")</f>
        <v/>
      </c>
    </row>
    <row r="175">
      <c r="E175">
        <f>IFERROR(C175/D175,0)</f>
        <v/>
      </c>
      <c r="F175">
        <f>H174</f>
        <v/>
      </c>
      <c r="G175">
        <f>IFERROR(SUMIF(Ventes!A:A,A175,Ventes!B:B),0)</f>
        <v/>
      </c>
      <c r="H175">
        <f>MAX(0,F175+E175-G175)</f>
        <v/>
      </c>
      <c r="I175">
        <f>IF(H175&lt;Paramètres!B6,"ALERTE","OK")</f>
        <v/>
      </c>
    </row>
    <row r="176">
      <c r="E176">
        <f>IFERROR(C176/D176,0)</f>
        <v/>
      </c>
      <c r="F176">
        <f>H175</f>
        <v/>
      </c>
      <c r="G176">
        <f>IFERROR(SUMIF(Ventes!A:A,A176,Ventes!B:B),0)</f>
        <v/>
      </c>
      <c r="H176">
        <f>MAX(0,F176+E176-G176)</f>
        <v/>
      </c>
      <c r="I176">
        <f>IF(H176&lt;Paramètres!B6,"ALERTE","OK")</f>
        <v/>
      </c>
    </row>
    <row r="177">
      <c r="E177">
        <f>IFERROR(C177/D177,0)</f>
        <v/>
      </c>
      <c r="F177">
        <f>H176</f>
        <v/>
      </c>
      <c r="G177">
        <f>IFERROR(SUMIF(Ventes!A:A,A177,Ventes!B:B),0)</f>
        <v/>
      </c>
      <c r="H177">
        <f>MAX(0,F177+E177-G177)</f>
        <v/>
      </c>
      <c r="I177">
        <f>IF(H177&lt;Paramètres!B6,"ALERTE","OK")</f>
        <v/>
      </c>
    </row>
    <row r="178">
      <c r="E178">
        <f>IFERROR(C178/D178,0)</f>
        <v/>
      </c>
      <c r="F178">
        <f>H177</f>
        <v/>
      </c>
      <c r="G178">
        <f>IFERROR(SUMIF(Ventes!A:A,A178,Ventes!B:B),0)</f>
        <v/>
      </c>
      <c r="H178">
        <f>MAX(0,F178+E178-G178)</f>
        <v/>
      </c>
      <c r="I178">
        <f>IF(H178&lt;Paramètres!B6,"ALERTE","OK")</f>
        <v/>
      </c>
    </row>
    <row r="179">
      <c r="E179">
        <f>IFERROR(C179/D179,0)</f>
        <v/>
      </c>
      <c r="F179">
        <f>H178</f>
        <v/>
      </c>
      <c r="G179">
        <f>IFERROR(SUMIF(Ventes!A:A,A179,Ventes!B:B),0)</f>
        <v/>
      </c>
      <c r="H179">
        <f>MAX(0,F179+E179-G179)</f>
        <v/>
      </c>
      <c r="I179">
        <f>IF(H179&lt;Paramètres!B6,"ALERTE","OK")</f>
        <v/>
      </c>
    </row>
    <row r="180">
      <c r="E180">
        <f>IFERROR(C180/D180,0)</f>
        <v/>
      </c>
      <c r="F180">
        <f>H179</f>
        <v/>
      </c>
      <c r="G180">
        <f>IFERROR(SUMIF(Ventes!A:A,A180,Ventes!B:B),0)</f>
        <v/>
      </c>
      <c r="H180">
        <f>MAX(0,F180+E180-G180)</f>
        <v/>
      </c>
      <c r="I180">
        <f>IF(H180&lt;Paramètres!B6,"ALERTE","OK")</f>
        <v/>
      </c>
    </row>
    <row r="181">
      <c r="E181">
        <f>IFERROR(C181/D181,0)</f>
        <v/>
      </c>
      <c r="F181">
        <f>H180</f>
        <v/>
      </c>
      <c r="G181">
        <f>IFERROR(SUMIF(Ventes!A:A,A181,Ventes!B:B),0)</f>
        <v/>
      </c>
      <c r="H181">
        <f>MAX(0,F181+E181-G181)</f>
        <v/>
      </c>
      <c r="I181">
        <f>IF(H181&lt;Paramètres!B6,"ALERTE","OK")</f>
        <v/>
      </c>
    </row>
    <row r="182">
      <c r="E182">
        <f>IFERROR(C182/D182,0)</f>
        <v/>
      </c>
      <c r="F182">
        <f>H181</f>
        <v/>
      </c>
      <c r="G182">
        <f>IFERROR(SUMIF(Ventes!A:A,A182,Ventes!B:B),0)</f>
        <v/>
      </c>
      <c r="H182">
        <f>MAX(0,F182+E182-G182)</f>
        <v/>
      </c>
      <c r="I182">
        <f>IF(H182&lt;Paramètres!B6,"ALERTE","OK")</f>
        <v/>
      </c>
    </row>
    <row r="183">
      <c r="E183">
        <f>IFERROR(C183/D183,0)</f>
        <v/>
      </c>
      <c r="F183">
        <f>H182</f>
        <v/>
      </c>
      <c r="G183">
        <f>IFERROR(SUMIF(Ventes!A:A,A183,Ventes!B:B),0)</f>
        <v/>
      </c>
      <c r="H183">
        <f>MAX(0,F183+E183-G183)</f>
        <v/>
      </c>
      <c r="I183">
        <f>IF(H183&lt;Paramètres!B6,"ALERTE","OK")</f>
        <v/>
      </c>
    </row>
    <row r="184">
      <c r="E184">
        <f>IFERROR(C184/D184,0)</f>
        <v/>
      </c>
      <c r="F184">
        <f>H183</f>
        <v/>
      </c>
      <c r="G184">
        <f>IFERROR(SUMIF(Ventes!A:A,A184,Ventes!B:B),0)</f>
        <v/>
      </c>
      <c r="H184">
        <f>MAX(0,F184+E184-G184)</f>
        <v/>
      </c>
      <c r="I184">
        <f>IF(H184&lt;Paramètres!B6,"ALERTE","OK")</f>
        <v/>
      </c>
    </row>
    <row r="185">
      <c r="E185">
        <f>IFERROR(C185/D185,0)</f>
        <v/>
      </c>
      <c r="F185">
        <f>H184</f>
        <v/>
      </c>
      <c r="G185">
        <f>IFERROR(SUMIF(Ventes!A:A,A185,Ventes!B:B),0)</f>
        <v/>
      </c>
      <c r="H185">
        <f>MAX(0,F185+E185-G185)</f>
        <v/>
      </c>
      <c r="I185">
        <f>IF(H185&lt;Paramètres!B6,"ALERTE","OK")</f>
        <v/>
      </c>
    </row>
    <row r="186">
      <c r="E186">
        <f>IFERROR(C186/D186,0)</f>
        <v/>
      </c>
      <c r="F186">
        <f>H185</f>
        <v/>
      </c>
      <c r="G186">
        <f>IFERROR(SUMIF(Ventes!A:A,A186,Ventes!B:B),0)</f>
        <v/>
      </c>
      <c r="H186">
        <f>MAX(0,F186+E186-G186)</f>
        <v/>
      </c>
      <c r="I186">
        <f>IF(H186&lt;Paramètres!B6,"ALERTE","OK")</f>
        <v/>
      </c>
    </row>
    <row r="187">
      <c r="E187">
        <f>IFERROR(C187/D187,0)</f>
        <v/>
      </c>
      <c r="F187">
        <f>H186</f>
        <v/>
      </c>
      <c r="G187">
        <f>IFERROR(SUMIF(Ventes!A:A,A187,Ventes!B:B),0)</f>
        <v/>
      </c>
      <c r="H187">
        <f>MAX(0,F187+E187-G187)</f>
        <v/>
      </c>
      <c r="I187">
        <f>IF(H187&lt;Paramètres!B6,"ALERTE","OK")</f>
        <v/>
      </c>
    </row>
    <row r="188">
      <c r="E188">
        <f>IFERROR(C188/D188,0)</f>
        <v/>
      </c>
      <c r="F188">
        <f>H187</f>
        <v/>
      </c>
      <c r="G188">
        <f>IFERROR(SUMIF(Ventes!A:A,A188,Ventes!B:B),0)</f>
        <v/>
      </c>
      <c r="H188">
        <f>MAX(0,F188+E188-G188)</f>
        <v/>
      </c>
      <c r="I188">
        <f>IF(H188&lt;Paramètres!B6,"ALERTE","OK")</f>
        <v/>
      </c>
    </row>
    <row r="189">
      <c r="E189">
        <f>IFERROR(C189/D189,0)</f>
        <v/>
      </c>
      <c r="F189">
        <f>H188</f>
        <v/>
      </c>
      <c r="G189">
        <f>IFERROR(SUMIF(Ventes!A:A,A189,Ventes!B:B),0)</f>
        <v/>
      </c>
      <c r="H189">
        <f>MAX(0,F189+E189-G189)</f>
        <v/>
      </c>
      <c r="I189">
        <f>IF(H189&lt;Paramètres!B6,"ALERTE","OK")</f>
        <v/>
      </c>
    </row>
    <row r="190">
      <c r="E190">
        <f>IFERROR(C190/D190,0)</f>
        <v/>
      </c>
      <c r="F190">
        <f>H189</f>
        <v/>
      </c>
      <c r="G190">
        <f>IFERROR(SUMIF(Ventes!A:A,A190,Ventes!B:B),0)</f>
        <v/>
      </c>
      <c r="H190">
        <f>MAX(0,F190+E190-G190)</f>
        <v/>
      </c>
      <c r="I190">
        <f>IF(H190&lt;Paramètres!B6,"ALERTE","OK")</f>
        <v/>
      </c>
    </row>
    <row r="191">
      <c r="E191">
        <f>IFERROR(C191/D191,0)</f>
        <v/>
      </c>
      <c r="F191">
        <f>H190</f>
        <v/>
      </c>
      <c r="G191">
        <f>IFERROR(SUMIF(Ventes!A:A,A191,Ventes!B:B),0)</f>
        <v/>
      </c>
      <c r="H191">
        <f>MAX(0,F191+E191-G191)</f>
        <v/>
      </c>
      <c r="I191">
        <f>IF(H191&lt;Paramètres!B6,"ALERTE","OK")</f>
        <v/>
      </c>
    </row>
    <row r="192">
      <c r="E192">
        <f>IFERROR(C192/D192,0)</f>
        <v/>
      </c>
      <c r="F192">
        <f>H191</f>
        <v/>
      </c>
      <c r="G192">
        <f>IFERROR(SUMIF(Ventes!A:A,A192,Ventes!B:B),0)</f>
        <v/>
      </c>
      <c r="H192">
        <f>MAX(0,F192+E192-G192)</f>
        <v/>
      </c>
      <c r="I192">
        <f>IF(H192&lt;Paramètres!B6,"ALERTE","OK")</f>
        <v/>
      </c>
    </row>
    <row r="193">
      <c r="E193">
        <f>IFERROR(C193/D193,0)</f>
        <v/>
      </c>
      <c r="F193">
        <f>H192</f>
        <v/>
      </c>
      <c r="G193">
        <f>IFERROR(SUMIF(Ventes!A:A,A193,Ventes!B:B),0)</f>
        <v/>
      </c>
      <c r="H193">
        <f>MAX(0,F193+E193-G193)</f>
        <v/>
      </c>
      <c r="I193">
        <f>IF(H193&lt;Paramètres!B6,"ALERTE","OK")</f>
        <v/>
      </c>
    </row>
    <row r="194">
      <c r="E194">
        <f>IFERROR(C194/D194,0)</f>
        <v/>
      </c>
      <c r="F194">
        <f>H193</f>
        <v/>
      </c>
      <c r="G194">
        <f>IFERROR(SUMIF(Ventes!A:A,A194,Ventes!B:B),0)</f>
        <v/>
      </c>
      <c r="H194">
        <f>MAX(0,F194+E194-G194)</f>
        <v/>
      </c>
      <c r="I194">
        <f>IF(H194&lt;Paramètres!B6,"ALERTE","OK")</f>
        <v/>
      </c>
    </row>
    <row r="195">
      <c r="E195">
        <f>IFERROR(C195/D195,0)</f>
        <v/>
      </c>
      <c r="F195">
        <f>H194</f>
        <v/>
      </c>
      <c r="G195">
        <f>IFERROR(SUMIF(Ventes!A:A,A195,Ventes!B:B),0)</f>
        <v/>
      </c>
      <c r="H195">
        <f>MAX(0,F195+E195-G195)</f>
        <v/>
      </c>
      <c r="I195">
        <f>IF(H195&lt;Paramètres!B6,"ALERTE","OK")</f>
        <v/>
      </c>
    </row>
    <row r="196">
      <c r="E196">
        <f>IFERROR(C196/D196,0)</f>
        <v/>
      </c>
      <c r="F196">
        <f>H195</f>
        <v/>
      </c>
      <c r="G196">
        <f>IFERROR(SUMIF(Ventes!A:A,A196,Ventes!B:B),0)</f>
        <v/>
      </c>
      <c r="H196">
        <f>MAX(0,F196+E196-G196)</f>
        <v/>
      </c>
      <c r="I196">
        <f>IF(H196&lt;Paramètres!B6,"ALERTE","OK")</f>
        <v/>
      </c>
    </row>
    <row r="197">
      <c r="E197">
        <f>IFERROR(C197/D197,0)</f>
        <v/>
      </c>
      <c r="F197">
        <f>H196</f>
        <v/>
      </c>
      <c r="G197">
        <f>IFERROR(SUMIF(Ventes!A:A,A197,Ventes!B:B),0)</f>
        <v/>
      </c>
      <c r="H197">
        <f>MAX(0,F197+E197-G197)</f>
        <v/>
      </c>
      <c r="I197">
        <f>IF(H197&lt;Paramètres!B6,"ALERTE","OK")</f>
        <v/>
      </c>
    </row>
    <row r="198">
      <c r="E198">
        <f>IFERROR(C198/D198,0)</f>
        <v/>
      </c>
      <c r="F198">
        <f>H197</f>
        <v/>
      </c>
      <c r="G198">
        <f>IFERROR(SUMIF(Ventes!A:A,A198,Ventes!B:B),0)</f>
        <v/>
      </c>
      <c r="H198">
        <f>MAX(0,F198+E198-G198)</f>
        <v/>
      </c>
      <c r="I198">
        <f>IF(H198&lt;Paramètres!B6,"ALERTE","OK")</f>
        <v/>
      </c>
    </row>
    <row r="199">
      <c r="E199">
        <f>IFERROR(C199/D199,0)</f>
        <v/>
      </c>
      <c r="F199">
        <f>H198</f>
        <v/>
      </c>
      <c r="G199">
        <f>IFERROR(SUMIF(Ventes!A:A,A199,Ventes!B:B),0)</f>
        <v/>
      </c>
      <c r="H199">
        <f>MAX(0,F199+E199-G199)</f>
        <v/>
      </c>
      <c r="I199">
        <f>IF(H199&lt;Paramètres!B6,"ALERTE","OK")</f>
        <v/>
      </c>
    </row>
    <row r="200">
      <c r="E200">
        <f>IFERROR(C200/D200,0)</f>
        <v/>
      </c>
      <c r="F200">
        <f>H199</f>
        <v/>
      </c>
      <c r="G200">
        <f>IFERROR(SUMIF(Ventes!A:A,A200,Ventes!B:B),0)</f>
        <v/>
      </c>
      <c r="H200">
        <f>MAX(0,F200+E200-G200)</f>
        <v/>
      </c>
      <c r="I200">
        <f>IF(H200&lt;Paramètres!B6,"ALERTE","OK")</f>
        <v/>
      </c>
    </row>
    <row r="201">
      <c r="E201">
        <f>IFERROR(C201/D201,0)</f>
        <v/>
      </c>
      <c r="F201">
        <f>H200</f>
        <v/>
      </c>
      <c r="G201">
        <f>IFERROR(SUMIF(Ventes!A:A,A201,Ventes!B:B),0)</f>
        <v/>
      </c>
      <c r="H201">
        <f>MAX(0,F201+E201-G201)</f>
        <v/>
      </c>
      <c r="I201">
        <f>IF(H201&lt;Paramètres!B6,"ALERTE","OK")</f>
        <v/>
      </c>
    </row>
  </sheetData>
  <conditionalFormatting sqref="I2:I201">
    <cfRule type="expression" priority="1" dxfId="0">
      <formula>$I2="ALERTE"</formula>
    </cfRule>
    <cfRule type="expression" priority="2" dxfId="1">
      <formula>$I2="OK"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Date</t>
        </is>
      </c>
      <c r="B1" t="inlineStr">
        <is>
          <t>Quantité vendue (L)</t>
        </is>
      </c>
      <c r="C1" t="inlineStr">
        <is>
          <t>Montant encaissé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2025-11-23T16:18:45Z</dcterms:created>
  <dcterms:modified xsi:type="dcterms:W3CDTF">2025-11-23T16:18:45Z</dcterms:modified>
</cp:coreProperties>
</file>